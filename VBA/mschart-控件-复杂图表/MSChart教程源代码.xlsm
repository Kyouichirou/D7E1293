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105" windowWidth="19395" windowHeight="7605" activeTab="4"/>
  </bookViews>
  <sheets>
    <sheet name="初识图表" sheetId="1" r:id="rId1"/>
    <sheet name="堆叠图" sheetId="3" r:id="rId2"/>
    <sheet name="组合图" sheetId="4" r:id="rId3"/>
    <sheet name="散点图" sheetId="5" r:id="rId4"/>
    <sheet name="缩放图表" sheetId="2" r:id="rId5"/>
    <sheet name="切片图表" sheetId="7" r:id="rId6"/>
    <sheet name="切片图表2" sheetId="8" r:id="rId7"/>
    <sheet name="图表输出与打印" sheetId="9" r:id="rId8"/>
  </sheets>
  <calcPr calcId="125725"/>
</workbook>
</file>

<file path=xl/calcChain.xml><?xml version="1.0" encoding="utf-8"?>
<calcChain xmlns="http://schemas.openxmlformats.org/spreadsheetml/2006/main">
  <c r="D7" i="9"/>
  <c r="D6"/>
  <c r="D5"/>
  <c r="D4"/>
  <c r="D3"/>
  <c r="D2"/>
  <c r="C4" i="4" l="1"/>
  <c r="C5"/>
  <c r="C6"/>
  <c r="C7"/>
  <c r="C8"/>
  <c r="C2"/>
  <c r="D3"/>
  <c r="D4"/>
  <c r="D5"/>
  <c r="D6"/>
  <c r="D7"/>
  <c r="D8"/>
  <c r="D9"/>
  <c r="D2"/>
</calcChain>
</file>

<file path=xl/sharedStrings.xml><?xml version="1.0" encoding="utf-8"?>
<sst xmlns="http://schemas.openxmlformats.org/spreadsheetml/2006/main" count="957" uniqueCount="139">
  <si>
    <t>系列一</t>
    <phoneticPr fontId="1" type="noConversion"/>
  </si>
  <si>
    <t>系列二</t>
    <phoneticPr fontId="1" type="noConversion"/>
  </si>
  <si>
    <t>1月</t>
    <phoneticPr fontId="1" type="noConversion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</si>
  <si>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</si>
  <si>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</si>
  <si>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</si>
  <si>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</si>
  <si>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</si>
  <si>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</si>
  <si>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</si>
  <si>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</si>
  <si>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</si>
  <si>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</si>
  <si>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</si>
  <si>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赵</t>
    <phoneticPr fontId="1" type="noConversion"/>
  </si>
  <si>
    <t>钱</t>
  </si>
  <si>
    <t>孙</t>
  </si>
  <si>
    <t>李</t>
  </si>
  <si>
    <t>周</t>
  </si>
  <si>
    <t>吴</t>
  </si>
  <si>
    <t>郑</t>
  </si>
  <si>
    <t>王</t>
  </si>
  <si>
    <t>达成率</t>
    <phoneticPr fontId="1" type="noConversion"/>
  </si>
  <si>
    <t>0不要赋值，不然也会显示数据点标签</t>
    <phoneticPr fontId="1" type="noConversion"/>
  </si>
  <si>
    <t>完成数</t>
    <phoneticPr fontId="1" type="noConversion"/>
  </si>
  <si>
    <t>差距数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</si>
  <si>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</si>
  <si>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</si>
  <si>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</si>
  <si>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</si>
  <si>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2010年</t>
  </si>
  <si>
    <t>2011年</t>
  </si>
  <si>
    <t>2012年</t>
  </si>
  <si>
    <t>2013年</t>
  </si>
  <si>
    <t>2014年</t>
  </si>
  <si>
    <t>2015年</t>
  </si>
  <si>
    <t>2016年</t>
  </si>
  <si>
    <t>2017年</t>
  </si>
  <si>
    <t>2018年</t>
  </si>
  <si>
    <t>2019年</t>
  </si>
  <si>
    <t>年数</t>
    <phoneticPr fontId="1" type="noConversion"/>
  </si>
  <si>
    <t>姓名</t>
    <phoneticPr fontId="1" type="noConversion"/>
  </si>
  <si>
    <t>项目A</t>
    <phoneticPr fontId="1" type="noConversion"/>
  </si>
  <si>
    <t>项目B</t>
    <phoneticPr fontId="1" type="noConversion"/>
  </si>
  <si>
    <t>项目C</t>
    <phoneticPr fontId="1" type="noConversion"/>
  </si>
  <si>
    <t>项目D</t>
    <phoneticPr fontId="1" type="noConversion"/>
  </si>
  <si>
    <t>R1</t>
  </si>
  <si>
    <t>R2</t>
  </si>
  <si>
    <t>R3</t>
  </si>
  <si>
    <t>R4</t>
  </si>
  <si>
    <t>R5</t>
  </si>
  <si>
    <t>R6</t>
  </si>
  <si>
    <t>R7</t>
  </si>
  <si>
    <t>R9</t>
  </si>
  <si>
    <t>R10</t>
  </si>
  <si>
    <t>系列一</t>
  </si>
  <si>
    <t>系列二</t>
  </si>
  <si>
    <t>R8</t>
  </si>
  <si>
    <t>日期</t>
  </si>
  <si>
    <t>班组</t>
  </si>
  <si>
    <t>编码</t>
  </si>
  <si>
    <t>产品名称</t>
  </si>
  <si>
    <t>规格</t>
  </si>
  <si>
    <t>序号</t>
  </si>
  <si>
    <t>卷号</t>
  </si>
  <si>
    <t>批号</t>
  </si>
  <si>
    <t>包号</t>
  </si>
  <si>
    <t>上限</t>
  </si>
  <si>
    <t>下限</t>
  </si>
  <si>
    <t>频率</t>
  </si>
  <si>
    <t>2#批号</t>
  </si>
  <si>
    <t>2#包号</t>
  </si>
  <si>
    <t>2#上限</t>
  </si>
  <si>
    <t>2#下限</t>
  </si>
  <si>
    <t>2#频率</t>
  </si>
  <si>
    <t>设定</t>
  </si>
  <si>
    <t>位置</t>
  </si>
  <si>
    <t>高度</t>
  </si>
  <si>
    <t>速度</t>
  </si>
  <si>
    <t>调速</t>
  </si>
  <si>
    <t>压力</t>
  </si>
  <si>
    <t>气压</t>
  </si>
  <si>
    <t>温度</t>
  </si>
  <si>
    <t>风机1</t>
  </si>
  <si>
    <t>风机2</t>
  </si>
  <si>
    <t>风机A</t>
  </si>
  <si>
    <t>风机B</t>
  </si>
  <si>
    <t>风机</t>
  </si>
  <si>
    <t>原料数量</t>
  </si>
  <si>
    <t>重量1</t>
  </si>
  <si>
    <t>重量2</t>
  </si>
  <si>
    <t>重量3</t>
  </si>
  <si>
    <t>重量4</t>
  </si>
  <si>
    <t>重量5</t>
  </si>
  <si>
    <t>重量5片</t>
  </si>
  <si>
    <t>厚度1</t>
  </si>
  <si>
    <t>厚度2</t>
  </si>
  <si>
    <t>厚度3</t>
  </si>
  <si>
    <t>厚度4</t>
  </si>
  <si>
    <t>厚度5</t>
  </si>
  <si>
    <t>厚度5片</t>
  </si>
  <si>
    <t>1#频率</t>
  </si>
  <si>
    <t>1#气压</t>
  </si>
  <si>
    <t>1#喷帽</t>
  </si>
  <si>
    <t>1#喷量</t>
  </si>
  <si>
    <t>1#率</t>
  </si>
  <si>
    <t>1#温度℃</t>
  </si>
  <si>
    <t>1#散机</t>
  </si>
  <si>
    <t>2#气压</t>
  </si>
  <si>
    <t>2#喷帽</t>
  </si>
  <si>
    <t>2#喷量</t>
  </si>
  <si>
    <t>2#送风机A</t>
  </si>
  <si>
    <t>2#送风机B</t>
  </si>
  <si>
    <t>2#排风机</t>
  </si>
  <si>
    <t>2#温度℃</t>
  </si>
  <si>
    <t>2#散机</t>
  </si>
  <si>
    <t>印字</t>
  </si>
  <si>
    <t>收卷</t>
  </si>
  <si>
    <t>长度
m</t>
  </si>
  <si>
    <t>宽度
mm</t>
  </si>
  <si>
    <t>公差</t>
  </si>
  <si>
    <t>5片厚度mm</t>
  </si>
  <si>
    <t>5片干重g</t>
  </si>
  <si>
    <t>抗压强度N</t>
  </si>
  <si>
    <t>卷重kg</t>
  </si>
  <si>
    <t>B</t>
  </si>
  <si>
    <t>g9969B</t>
  </si>
  <si>
    <t>A</t>
  </si>
  <si>
    <t>g9947B</t>
  </si>
  <si>
    <t>g9947M</t>
  </si>
  <si>
    <t>g9921Z</t>
  </si>
  <si>
    <t>g9947H</t>
  </si>
  <si>
    <t>g9921</t>
  </si>
  <si>
    <t>g9921C</t>
  </si>
  <si>
    <t>项目</t>
    <phoneticPr fontId="1" type="noConversion"/>
  </si>
  <si>
    <t>目标数</t>
    <phoneticPr fontId="1" type="noConversion"/>
  </si>
  <si>
    <t>完成率</t>
    <phoneticPr fontId="1" type="noConversion"/>
  </si>
  <si>
    <t>E</t>
    <phoneticPr fontId="1" type="noConversion"/>
  </si>
  <si>
    <t>F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</si>
</sst>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5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control" Target="../activeX/activeX1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control" Target="../activeX/activeX15.xml"/><Relationship Id="rId1" Type="http://schemas.openxmlformats.org/officeDocument/2006/relationships/vmlDrawing" Target="../drawings/vmlDrawing5.vml"/><Relationship Id="rId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8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9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1"/>
  <sheetViews>
    <sheetView workbookViewId="0">
      <selection activeCell="I17" sqref="I17"/>
    </sheetView>
  </sheetViews>
  <sheetFormatPr defaultRowHeight="13.5"/>
  <cols>
    <col min="1" max="1" width="7.125" bestFit="1" customWidth="1"/>
    <col min="2" max="2" width="7.25" bestFit="1" customWidth="1"/>
    <col min="3" max="3" width="4.625" customWidth="1"/>
    <col min="4" max="6" width="4.5" customWidth="1"/>
    <col min="7" max="7" width="4.5" bestFit="1" customWidth="1"/>
    <col min="8" max="9" width="7.125" bestFit="1" customWidth="1"/>
  </cols>
  <sheetData>
    <row r="1" spans="1:9">
      <c r="A1" t="s">
        <v>0</v>
      </c>
      <c r="B1" t="s">
        <v>1</v>
      </c>
      <c r="H1" t="s">
        <v>55</v>
      </c>
      <c r="I1" t="s">
        <v>56</v>
      </c>
    </row>
    <row r="2" spans="1:9">
      <c r="A2">
        <v>5</v>
      </c>
      <c r="B2">
        <v>5</v>
      </c>
      <c r="G2" t="s">
        <v>46</v>
      </c>
      <c r="H2">
        <v>5</v>
      </c>
      <c r="I2">
        <v>5</v>
      </c>
    </row>
    <row r="3" spans="1:9">
      <c r="A3">
        <v>9</v>
      </c>
      <c r="B3">
        <v>5</v>
      </c>
      <c r="G3" t="s">
        <v>47</v>
      </c>
      <c r="H3">
        <v>9</v>
      </c>
      <c r="I3">
        <v>5</v>
      </c>
    </row>
    <row r="4" spans="1:9">
      <c r="A4">
        <v>5</v>
      </c>
      <c r="B4">
        <v>3</v>
      </c>
      <c r="G4" t="s">
        <v>48</v>
      </c>
      <c r="H4">
        <v>5</v>
      </c>
      <c r="I4">
        <v>3</v>
      </c>
    </row>
    <row r="5" spans="1:9">
      <c r="A5">
        <v>7</v>
      </c>
      <c r="B5">
        <v>2</v>
      </c>
      <c r="G5" t="s">
        <v>49</v>
      </c>
      <c r="H5">
        <v>7</v>
      </c>
      <c r="I5">
        <v>2</v>
      </c>
    </row>
    <row r="6" spans="1:9">
      <c r="A6">
        <v>6</v>
      </c>
      <c r="B6">
        <v>6</v>
      </c>
      <c r="G6" t="s">
        <v>50</v>
      </c>
      <c r="H6">
        <v>6</v>
      </c>
      <c r="I6">
        <v>6</v>
      </c>
    </row>
    <row r="7" spans="1:9">
      <c r="A7">
        <v>7</v>
      </c>
      <c r="B7">
        <v>9</v>
      </c>
      <c r="G7" t="s">
        <v>51</v>
      </c>
      <c r="H7">
        <v>7</v>
      </c>
      <c r="I7">
        <v>9</v>
      </c>
    </row>
    <row r="8" spans="1:9">
      <c r="A8">
        <v>9</v>
      </c>
      <c r="B8">
        <v>3</v>
      </c>
      <c r="G8" t="s">
        <v>52</v>
      </c>
      <c r="H8">
        <v>9</v>
      </c>
      <c r="I8">
        <v>3</v>
      </c>
    </row>
    <row r="9" spans="1:9">
      <c r="A9">
        <v>2</v>
      </c>
      <c r="B9">
        <v>8</v>
      </c>
      <c r="G9" t="s">
        <v>57</v>
      </c>
      <c r="H9">
        <v>2</v>
      </c>
      <c r="I9">
        <v>8</v>
      </c>
    </row>
    <row r="10" spans="1:9">
      <c r="A10">
        <v>1</v>
      </c>
      <c r="B10">
        <v>7</v>
      </c>
      <c r="G10" t="s">
        <v>53</v>
      </c>
      <c r="H10">
        <v>1</v>
      </c>
      <c r="I10">
        <v>7</v>
      </c>
    </row>
    <row r="11" spans="1:9">
      <c r="A11">
        <v>8</v>
      </c>
      <c r="B11">
        <v>7</v>
      </c>
      <c r="G11" t="s">
        <v>54</v>
      </c>
      <c r="H11">
        <v>8</v>
      </c>
      <c r="I11">
        <v>7</v>
      </c>
    </row>
    <row r="21" spans="2:2">
      <c r="B21" s="1"/>
    </row>
  </sheetData>
  <phoneticPr fontId="1" type="noConversion"/>
  <pageMargins left="0.7" right="0.7" top="0.75" bottom="0.75" header="0.3" footer="0.3"/>
  <pageSetup paperSize="9" orientation="portrait" horizontalDpi="300" verticalDpi="300" r:id="rId1"/>
  <legacyDrawing r:id="rId2"/>
  <controls>
    <control shapeId="5130" r:id="rId3" name="CommandButton10"/>
    <control shapeId="5129" r:id="rId4" name="CommandButton9"/>
    <control shapeId="5127" r:id="rId5" name="CommandButton7"/>
    <control shapeId="5126" r:id="rId6" name="CommandButton6"/>
    <control shapeId="5123" r:id="rId7" name="CommandButton3"/>
    <control shapeId="5122" r:id="rId8" name="CommandButton2"/>
    <control shapeId="5121" r:id="rId9" name="CommandButton1"/>
    <control shapeId="5124" r:id="rId10" name="CommandButton4"/>
    <control shapeId="5125" r:id="rId11" name="CommandButton5"/>
    <control shapeId="5128" r:id="rId12" name="CommandButton8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E13"/>
  <sheetViews>
    <sheetView workbookViewId="0">
      <selection activeCell="J12" sqref="J12"/>
    </sheetView>
  </sheetViews>
  <sheetFormatPr defaultRowHeight="13.5"/>
  <cols>
    <col min="1" max="1" width="5.375" bestFit="1" customWidth="1"/>
    <col min="2" max="5" width="5.25" customWidth="1"/>
  </cols>
  <sheetData>
    <row r="1" spans="1:5">
      <c r="B1" t="s">
        <v>14</v>
      </c>
      <c r="C1" t="s">
        <v>15</v>
      </c>
      <c r="D1" t="s">
        <v>16</v>
      </c>
      <c r="E1" t="s">
        <v>17</v>
      </c>
    </row>
    <row r="2" spans="1:5">
      <c r="A2" t="s">
        <v>2</v>
      </c>
      <c r="B2">
        <v>89</v>
      </c>
      <c r="C2">
        <v>100</v>
      </c>
      <c r="D2">
        <v>63</v>
      </c>
      <c r="E2">
        <v>78</v>
      </c>
    </row>
    <row r="3" spans="1:5">
      <c r="A3" t="s">
        <v>3</v>
      </c>
      <c r="B3">
        <v>83</v>
      </c>
      <c r="C3">
        <v>97</v>
      </c>
      <c r="D3">
        <v>96</v>
      </c>
      <c r="E3">
        <v>77</v>
      </c>
    </row>
    <row r="4" spans="1:5">
      <c r="A4" t="s">
        <v>4</v>
      </c>
      <c r="B4">
        <v>82</v>
      </c>
      <c r="C4">
        <v>72</v>
      </c>
      <c r="D4">
        <v>61</v>
      </c>
      <c r="E4">
        <v>62</v>
      </c>
    </row>
    <row r="5" spans="1:5">
      <c r="A5" t="s">
        <v>5</v>
      </c>
      <c r="B5">
        <v>78</v>
      </c>
      <c r="C5">
        <v>99</v>
      </c>
      <c r="D5">
        <v>68</v>
      </c>
      <c r="E5">
        <v>85</v>
      </c>
    </row>
    <row r="6" spans="1:5">
      <c r="A6" t="s">
        <v>6</v>
      </c>
      <c r="B6">
        <v>96</v>
      </c>
      <c r="C6">
        <v>76</v>
      </c>
      <c r="D6">
        <v>100</v>
      </c>
      <c r="E6">
        <v>73</v>
      </c>
    </row>
    <row r="7" spans="1:5">
      <c r="A7" t="s">
        <v>7</v>
      </c>
      <c r="B7">
        <v>87</v>
      </c>
      <c r="C7">
        <v>86</v>
      </c>
      <c r="D7">
        <v>81</v>
      </c>
      <c r="E7">
        <v>60</v>
      </c>
    </row>
    <row r="8" spans="1:5">
      <c r="A8" t="s">
        <v>8</v>
      </c>
      <c r="B8">
        <v>65</v>
      </c>
      <c r="C8">
        <v>78</v>
      </c>
      <c r="D8">
        <v>93</v>
      </c>
      <c r="E8">
        <v>69</v>
      </c>
    </row>
    <row r="9" spans="1:5">
      <c r="A9" t="s">
        <v>9</v>
      </c>
      <c r="B9">
        <v>88</v>
      </c>
      <c r="C9">
        <v>92</v>
      </c>
      <c r="D9">
        <v>83</v>
      </c>
      <c r="E9">
        <v>75</v>
      </c>
    </row>
    <row r="10" spans="1:5">
      <c r="A10" t="s">
        <v>10</v>
      </c>
      <c r="B10">
        <v>79</v>
      </c>
      <c r="C10">
        <v>87</v>
      </c>
      <c r="D10">
        <v>76</v>
      </c>
      <c r="E10">
        <v>76</v>
      </c>
    </row>
    <row r="11" spans="1:5">
      <c r="A11" t="s">
        <v>11</v>
      </c>
      <c r="B11">
        <v>87</v>
      </c>
      <c r="C11">
        <v>66</v>
      </c>
      <c r="D11">
        <v>63</v>
      </c>
      <c r="E11">
        <v>70</v>
      </c>
    </row>
    <row r="12" spans="1:5">
      <c r="A12" t="s">
        <v>12</v>
      </c>
      <c r="B12">
        <v>68</v>
      </c>
      <c r="C12">
        <v>86</v>
      </c>
      <c r="D12">
        <v>95</v>
      </c>
      <c r="E12">
        <v>69</v>
      </c>
    </row>
    <row r="13" spans="1:5">
      <c r="A13" t="s">
        <v>13</v>
      </c>
      <c r="B13">
        <v>64</v>
      </c>
      <c r="C13">
        <v>97</v>
      </c>
      <c r="D13">
        <v>61</v>
      </c>
      <c r="E13">
        <v>79</v>
      </c>
    </row>
  </sheetData>
  <phoneticPr fontId="1" type="noConversion"/>
  <pageMargins left="0.7" right="0.7" top="0.75" bottom="0.75" header="0.3" footer="0.3"/>
  <legacyDrawing r:id="rId1"/>
  <controls>
    <control shapeId="204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F9"/>
  <sheetViews>
    <sheetView workbookViewId="0">
      <selection activeCell="G15" sqref="G15"/>
    </sheetView>
  </sheetViews>
  <sheetFormatPr defaultRowHeight="13.5"/>
  <cols>
    <col min="1" max="1" width="5.375" bestFit="1" customWidth="1"/>
    <col min="2" max="4" width="7.125" bestFit="1" customWidth="1"/>
    <col min="5" max="5" width="5.25" customWidth="1"/>
  </cols>
  <sheetData>
    <row r="1" spans="1:6">
      <c r="B1" t="s">
        <v>24</v>
      </c>
      <c r="C1" t="s">
        <v>25</v>
      </c>
      <c r="D1" t="s">
        <v>22</v>
      </c>
    </row>
    <row r="2" spans="1:6">
      <c r="A2" t="s">
        <v>14</v>
      </c>
      <c r="B2">
        <v>89</v>
      </c>
      <c r="C2">
        <f>IF(100-B2&gt;0,100-B2,0)</f>
        <v>11</v>
      </c>
      <c r="D2">
        <f t="shared" ref="D2:D9" si="0">B2/100</f>
        <v>0.89</v>
      </c>
    </row>
    <row r="3" spans="1:6">
      <c r="A3" t="s">
        <v>15</v>
      </c>
      <c r="B3">
        <v>120</v>
      </c>
      <c r="D3">
        <f t="shared" si="0"/>
        <v>1.2</v>
      </c>
      <c r="F3" t="s">
        <v>23</v>
      </c>
    </row>
    <row r="4" spans="1:6">
      <c r="A4" t="s">
        <v>16</v>
      </c>
      <c r="B4">
        <v>82</v>
      </c>
      <c r="C4">
        <f t="shared" ref="C4:C8" si="1">IF(100-B4&gt;0,100-B4,0)</f>
        <v>18</v>
      </c>
      <c r="D4">
        <f t="shared" si="0"/>
        <v>0.82</v>
      </c>
    </row>
    <row r="5" spans="1:6">
      <c r="A5" t="s">
        <v>17</v>
      </c>
      <c r="B5">
        <v>78</v>
      </c>
      <c r="C5">
        <f t="shared" si="1"/>
        <v>22</v>
      </c>
      <c r="D5">
        <f t="shared" si="0"/>
        <v>0.78</v>
      </c>
    </row>
    <row r="6" spans="1:6">
      <c r="A6" t="s">
        <v>18</v>
      </c>
      <c r="B6">
        <v>96</v>
      </c>
      <c r="C6">
        <f t="shared" si="1"/>
        <v>4</v>
      </c>
      <c r="D6">
        <f t="shared" si="0"/>
        <v>0.96</v>
      </c>
    </row>
    <row r="7" spans="1:6">
      <c r="A7" t="s">
        <v>19</v>
      </c>
      <c r="B7">
        <v>87</v>
      </c>
      <c r="C7">
        <f t="shared" si="1"/>
        <v>13</v>
      </c>
      <c r="D7">
        <f t="shared" si="0"/>
        <v>0.87</v>
      </c>
    </row>
    <row r="8" spans="1:6">
      <c r="A8" t="s">
        <v>20</v>
      </c>
      <c r="B8">
        <v>65</v>
      </c>
      <c r="C8">
        <f t="shared" si="1"/>
        <v>35</v>
      </c>
      <c r="D8">
        <f t="shared" si="0"/>
        <v>0.65</v>
      </c>
    </row>
    <row r="9" spans="1:6">
      <c r="A9" t="s">
        <v>21</v>
      </c>
      <c r="B9">
        <v>123</v>
      </c>
      <c r="D9">
        <f t="shared" si="0"/>
        <v>1.23</v>
      </c>
    </row>
  </sheetData>
  <phoneticPr fontId="1" type="noConversion"/>
  <pageMargins left="0.7" right="0.7" top="0.75" bottom="0.75" header="0.3" footer="0.3"/>
  <legacyDrawing r:id="rId1"/>
  <controls>
    <control shapeId="1025" r:id="rId2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200"/>
  <sheetViews>
    <sheetView workbookViewId="0">
      <selection activeCell="I19" sqref="I19"/>
    </sheetView>
  </sheetViews>
  <sheetFormatPr defaultColWidth="8.25" defaultRowHeight="13.5"/>
  <cols>
    <col min="1" max="1" width="6.75" style="3" bestFit="1" customWidth="1"/>
    <col min="2" max="2" width="8.25" style="3" bestFit="1" customWidth="1"/>
    <col min="3" max="4" width="5.5" bestFit="1" customWidth="1"/>
    <col min="5" max="5" width="6.5" bestFit="1" customWidth="1"/>
    <col min="6" max="6" width="5.5" bestFit="1" customWidth="1"/>
  </cols>
  <sheetData>
    <row r="1" spans="1:2">
      <c r="A1" s="3">
        <v>0</v>
      </c>
      <c r="B1" s="3">
        <v>51</v>
      </c>
    </row>
    <row r="2" spans="1:2">
      <c r="A2" s="3">
        <v>0.05</v>
      </c>
      <c r="B2" s="3">
        <v>8</v>
      </c>
    </row>
    <row r="3" spans="1:2">
      <c r="A3" s="3">
        <v>0.1</v>
      </c>
      <c r="B3" s="3">
        <v>-568</v>
      </c>
    </row>
    <row r="4" spans="1:2">
      <c r="A4" s="3">
        <v>0.15000000000000002</v>
      </c>
      <c r="B4" s="3">
        <v>379</v>
      </c>
    </row>
    <row r="5" spans="1:2">
      <c r="A5" s="3">
        <v>0.2</v>
      </c>
      <c r="B5" s="3">
        <v>-800</v>
      </c>
    </row>
    <row r="6" spans="1:2">
      <c r="A6" s="3">
        <v>0.25</v>
      </c>
      <c r="B6" s="3">
        <v>-428</v>
      </c>
    </row>
    <row r="7" spans="1:2">
      <c r="A7" s="3">
        <v>0.30000000000000004</v>
      </c>
      <c r="B7" s="3">
        <v>-603</v>
      </c>
    </row>
    <row r="8" spans="1:2">
      <c r="A8" s="3">
        <v>0.35000000000000003</v>
      </c>
      <c r="B8" s="3">
        <v>260</v>
      </c>
    </row>
    <row r="9" spans="1:2">
      <c r="A9" s="3">
        <v>0.4</v>
      </c>
      <c r="B9" s="3">
        <v>358</v>
      </c>
    </row>
    <row r="10" spans="1:2">
      <c r="A10" s="3">
        <v>0.45</v>
      </c>
      <c r="B10" s="3">
        <v>-679</v>
      </c>
    </row>
    <row r="11" spans="1:2">
      <c r="A11" s="3">
        <v>0.5</v>
      </c>
      <c r="B11" s="3">
        <v>-179</v>
      </c>
    </row>
    <row r="12" spans="1:2">
      <c r="A12" s="3">
        <v>0.55000000000000004</v>
      </c>
      <c r="B12" s="3">
        <v>-622</v>
      </c>
    </row>
    <row r="13" spans="1:2">
      <c r="A13" s="3">
        <v>0.60000000000000009</v>
      </c>
      <c r="B13" s="3">
        <v>-613</v>
      </c>
    </row>
    <row r="14" spans="1:2">
      <c r="A14" s="3">
        <v>0.65</v>
      </c>
      <c r="B14" s="3">
        <v>-542</v>
      </c>
    </row>
    <row r="15" spans="1:2">
      <c r="A15" s="3">
        <v>0.70000000000000007</v>
      </c>
      <c r="B15" s="3">
        <v>-753</v>
      </c>
    </row>
    <row r="16" spans="1:2">
      <c r="A16" s="3">
        <v>0.75</v>
      </c>
      <c r="B16" s="3">
        <v>-392</v>
      </c>
    </row>
    <row r="17" spans="1:2">
      <c r="A17" s="3">
        <v>0.8</v>
      </c>
      <c r="B17" s="3">
        <v>104</v>
      </c>
    </row>
    <row r="18" spans="1:2">
      <c r="A18" s="3">
        <v>0.85000000000000009</v>
      </c>
      <c r="B18" s="3">
        <v>40</v>
      </c>
    </row>
    <row r="19" spans="1:2">
      <c r="A19" s="3">
        <v>0.9</v>
      </c>
      <c r="B19" s="3">
        <v>-797</v>
      </c>
    </row>
    <row r="20" spans="1:2">
      <c r="A20" s="3">
        <v>0.95000000000000007</v>
      </c>
      <c r="B20" s="3">
        <v>-313</v>
      </c>
    </row>
    <row r="21" spans="1:2">
      <c r="A21" s="3">
        <v>1</v>
      </c>
      <c r="B21" s="3">
        <v>341</v>
      </c>
    </row>
    <row r="22" spans="1:2">
      <c r="A22" s="3">
        <v>1.05</v>
      </c>
      <c r="B22" s="3">
        <v>-251</v>
      </c>
    </row>
    <row r="23" spans="1:2">
      <c r="A23" s="3">
        <v>1.1000000000000001</v>
      </c>
      <c r="B23" s="3">
        <v>307</v>
      </c>
    </row>
    <row r="24" spans="1:2">
      <c r="A24" s="3">
        <v>1.1500000000000001</v>
      </c>
      <c r="B24" s="3">
        <v>349</v>
      </c>
    </row>
    <row r="25" spans="1:2">
      <c r="A25" s="3">
        <v>1.2000000000000002</v>
      </c>
      <c r="B25" s="3">
        <v>-91</v>
      </c>
    </row>
    <row r="26" spans="1:2">
      <c r="A26" s="3">
        <v>1.25</v>
      </c>
      <c r="B26" s="3">
        <v>-771</v>
      </c>
    </row>
    <row r="27" spans="1:2">
      <c r="A27" s="3">
        <v>1.3</v>
      </c>
      <c r="B27" s="3">
        <v>-562</v>
      </c>
    </row>
    <row r="28" spans="1:2">
      <c r="A28" s="3">
        <v>1.35</v>
      </c>
      <c r="B28" s="3">
        <v>-391</v>
      </c>
    </row>
    <row r="29" spans="1:2">
      <c r="A29" s="3">
        <v>1.4000000000000001</v>
      </c>
      <c r="B29" s="3">
        <v>300</v>
      </c>
    </row>
    <row r="30" spans="1:2">
      <c r="A30" s="3">
        <v>1.4500000000000002</v>
      </c>
      <c r="B30" s="3">
        <v>314</v>
      </c>
    </row>
    <row r="31" spans="1:2">
      <c r="A31" s="3">
        <v>1.5</v>
      </c>
      <c r="B31" s="3">
        <v>61</v>
      </c>
    </row>
    <row r="32" spans="1:2">
      <c r="A32" s="3">
        <v>1.55</v>
      </c>
      <c r="B32" s="3">
        <v>-129</v>
      </c>
    </row>
    <row r="33" spans="1:2">
      <c r="A33" s="3">
        <v>1.6</v>
      </c>
      <c r="B33" s="3">
        <v>-274</v>
      </c>
    </row>
    <row r="34" spans="1:2">
      <c r="A34" s="3">
        <v>1.6500000000000001</v>
      </c>
      <c r="B34" s="3">
        <v>-569</v>
      </c>
    </row>
    <row r="35" spans="1:2">
      <c r="A35" s="3">
        <v>1.7000000000000002</v>
      </c>
      <c r="B35" s="3">
        <v>-17</v>
      </c>
    </row>
    <row r="36" spans="1:2">
      <c r="A36" s="3">
        <v>1.75</v>
      </c>
      <c r="B36" s="3">
        <v>334</v>
      </c>
    </row>
    <row r="37" spans="1:2">
      <c r="A37" s="3">
        <v>1.8</v>
      </c>
      <c r="B37" s="3">
        <v>-61</v>
      </c>
    </row>
    <row r="38" spans="1:2">
      <c r="A38" s="3">
        <v>1.85</v>
      </c>
      <c r="B38" s="3">
        <v>200</v>
      </c>
    </row>
    <row r="39" spans="1:2">
      <c r="A39" s="3">
        <v>1.9000000000000001</v>
      </c>
      <c r="B39" s="3">
        <v>99</v>
      </c>
    </row>
    <row r="40" spans="1:2">
      <c r="A40" s="3">
        <v>1.9500000000000002</v>
      </c>
      <c r="B40" s="3">
        <v>-304</v>
      </c>
    </row>
    <row r="41" spans="1:2">
      <c r="A41" s="3">
        <v>2</v>
      </c>
      <c r="B41" s="3">
        <v>-649</v>
      </c>
    </row>
    <row r="42" spans="1:2">
      <c r="A42" s="3">
        <v>2.0500000000000003</v>
      </c>
      <c r="B42" s="3">
        <v>-601</v>
      </c>
    </row>
    <row r="43" spans="1:2">
      <c r="A43" s="3">
        <v>2.1</v>
      </c>
      <c r="B43" s="3">
        <v>-173</v>
      </c>
    </row>
    <row r="44" spans="1:2">
      <c r="A44" s="3">
        <v>2.15</v>
      </c>
      <c r="B44" s="3">
        <v>-788</v>
      </c>
    </row>
    <row r="45" spans="1:2">
      <c r="A45" s="3">
        <v>2.2000000000000002</v>
      </c>
      <c r="B45" s="3">
        <v>-170</v>
      </c>
    </row>
    <row r="46" spans="1:2">
      <c r="A46" s="3">
        <v>2.25</v>
      </c>
      <c r="B46" s="3">
        <v>-368</v>
      </c>
    </row>
    <row r="47" spans="1:2">
      <c r="A47" s="3">
        <v>2.3000000000000003</v>
      </c>
      <c r="B47" s="3">
        <v>271</v>
      </c>
    </row>
    <row r="48" spans="1:2">
      <c r="A48" s="3">
        <v>2.35</v>
      </c>
      <c r="B48" s="3">
        <v>-591</v>
      </c>
    </row>
    <row r="49" spans="1:2">
      <c r="A49" s="3">
        <v>2.4000000000000004</v>
      </c>
      <c r="B49" s="3">
        <v>167</v>
      </c>
    </row>
    <row r="50" spans="1:2">
      <c r="A50" s="3">
        <v>2.4500000000000002</v>
      </c>
      <c r="B50" s="3">
        <v>-300</v>
      </c>
    </row>
    <row r="51" spans="1:2">
      <c r="A51" s="3">
        <v>2.5</v>
      </c>
      <c r="B51" s="3">
        <v>-644</v>
      </c>
    </row>
    <row r="52" spans="1:2">
      <c r="A52" s="3">
        <v>2.5500000000000003</v>
      </c>
      <c r="B52" s="3">
        <v>187</v>
      </c>
    </row>
    <row r="53" spans="1:2">
      <c r="A53" s="3">
        <v>2.6</v>
      </c>
      <c r="B53" s="3">
        <v>147</v>
      </c>
    </row>
    <row r="54" spans="1:2">
      <c r="A54" s="3">
        <v>2.6500000000000004</v>
      </c>
      <c r="B54" s="3">
        <v>-228</v>
      </c>
    </row>
    <row r="55" spans="1:2">
      <c r="A55" s="3">
        <v>2.7</v>
      </c>
      <c r="B55" s="3">
        <v>320</v>
      </c>
    </row>
    <row r="56" spans="1:2">
      <c r="A56" s="3">
        <v>2.75</v>
      </c>
      <c r="B56" s="3">
        <v>-207</v>
      </c>
    </row>
    <row r="57" spans="1:2">
      <c r="A57" s="3">
        <v>2.8000000000000003</v>
      </c>
      <c r="B57" s="3">
        <v>294</v>
      </c>
    </row>
    <row r="58" spans="1:2">
      <c r="A58" s="3">
        <v>2.85</v>
      </c>
      <c r="B58" s="3">
        <v>56</v>
      </c>
    </row>
    <row r="59" spans="1:2">
      <c r="A59" s="3">
        <v>2.9000000000000004</v>
      </c>
      <c r="B59" s="3">
        <v>65</v>
      </c>
    </row>
    <row r="60" spans="1:2">
      <c r="A60" s="3">
        <v>2.95</v>
      </c>
      <c r="B60" s="3">
        <v>318</v>
      </c>
    </row>
    <row r="61" spans="1:2">
      <c r="A61" s="3">
        <v>3</v>
      </c>
      <c r="B61" s="3">
        <v>-97</v>
      </c>
    </row>
    <row r="62" spans="1:2">
      <c r="A62" s="3">
        <v>3.0500000000000003</v>
      </c>
      <c r="B62" s="3">
        <v>-559</v>
      </c>
    </row>
    <row r="63" spans="1:2">
      <c r="A63" s="3">
        <v>3.1</v>
      </c>
      <c r="B63" s="3">
        <v>338</v>
      </c>
    </row>
    <row r="64" spans="1:2">
      <c r="A64" s="3">
        <v>3.1500000000000004</v>
      </c>
      <c r="B64" s="3">
        <v>-47</v>
      </c>
    </row>
    <row r="65" spans="1:2">
      <c r="A65" s="3">
        <v>3.2</v>
      </c>
      <c r="B65" s="3">
        <v>-637</v>
      </c>
    </row>
    <row r="66" spans="1:2">
      <c r="A66" s="3">
        <v>3.25</v>
      </c>
      <c r="B66" s="3">
        <v>24</v>
      </c>
    </row>
    <row r="67" spans="1:2">
      <c r="A67" s="3">
        <v>3.3000000000000003</v>
      </c>
      <c r="B67" s="3">
        <v>-563</v>
      </c>
    </row>
    <row r="68" spans="1:2">
      <c r="A68" s="3">
        <v>3.35</v>
      </c>
      <c r="B68" s="3">
        <v>-81</v>
      </c>
    </row>
    <row r="69" spans="1:2">
      <c r="A69" s="3">
        <v>3.4000000000000004</v>
      </c>
      <c r="B69" s="3">
        <v>-336</v>
      </c>
    </row>
    <row r="70" spans="1:2">
      <c r="A70" s="3">
        <v>3.45</v>
      </c>
      <c r="B70" s="3">
        <v>-703</v>
      </c>
    </row>
    <row r="71" spans="1:2">
      <c r="A71" s="3">
        <v>3.5</v>
      </c>
      <c r="B71" s="3">
        <v>86</v>
      </c>
    </row>
    <row r="72" spans="1:2">
      <c r="A72" s="3">
        <v>3.5500000000000003</v>
      </c>
      <c r="B72" s="3">
        <v>302</v>
      </c>
    </row>
    <row r="73" spans="1:2">
      <c r="A73" s="3">
        <v>3.6</v>
      </c>
      <c r="B73" s="3">
        <v>-216</v>
      </c>
    </row>
    <row r="74" spans="1:2">
      <c r="A74" s="3">
        <v>3.6500000000000004</v>
      </c>
      <c r="B74" s="3">
        <v>302</v>
      </c>
    </row>
    <row r="75" spans="1:2">
      <c r="A75" s="3">
        <v>3.7</v>
      </c>
      <c r="B75" s="3">
        <v>-230</v>
      </c>
    </row>
    <row r="76" spans="1:2">
      <c r="A76" s="3">
        <v>3.75</v>
      </c>
      <c r="B76" s="3">
        <v>-643</v>
      </c>
    </row>
    <row r="77" spans="1:2">
      <c r="A77" s="3">
        <v>3.8000000000000003</v>
      </c>
      <c r="B77" s="3">
        <v>-673</v>
      </c>
    </row>
    <row r="78" spans="1:2">
      <c r="A78" s="3">
        <v>3.85</v>
      </c>
      <c r="B78" s="3">
        <v>168</v>
      </c>
    </row>
    <row r="79" spans="1:2">
      <c r="A79" s="3">
        <v>3.9000000000000004</v>
      </c>
      <c r="B79" s="3">
        <v>-206</v>
      </c>
    </row>
    <row r="80" spans="1:2">
      <c r="A80" s="3">
        <v>3.95</v>
      </c>
      <c r="B80" s="3">
        <v>-620</v>
      </c>
    </row>
    <row r="81" spans="1:2">
      <c r="A81" s="3">
        <v>4</v>
      </c>
      <c r="B81" s="3">
        <v>-172</v>
      </c>
    </row>
    <row r="82" spans="1:2">
      <c r="A82" s="3">
        <v>4.05</v>
      </c>
      <c r="B82" s="3">
        <v>-674</v>
      </c>
    </row>
    <row r="83" spans="1:2">
      <c r="A83" s="3">
        <v>4.1000000000000005</v>
      </c>
      <c r="B83" s="3">
        <v>-175</v>
      </c>
    </row>
    <row r="84" spans="1:2">
      <c r="A84" s="3">
        <v>4.1500000000000004</v>
      </c>
      <c r="B84" s="3">
        <v>-120</v>
      </c>
    </row>
    <row r="85" spans="1:2">
      <c r="A85" s="3">
        <v>4.2</v>
      </c>
      <c r="B85" s="3">
        <v>-430</v>
      </c>
    </row>
    <row r="86" spans="1:2">
      <c r="A86" s="3">
        <v>4.25</v>
      </c>
      <c r="B86" s="3">
        <v>-111</v>
      </c>
    </row>
    <row r="87" spans="1:2">
      <c r="A87" s="3">
        <v>4.3</v>
      </c>
      <c r="B87" s="3">
        <v>-298</v>
      </c>
    </row>
    <row r="88" spans="1:2">
      <c r="A88" s="3">
        <v>4.3500000000000005</v>
      </c>
      <c r="B88" s="3">
        <v>-311</v>
      </c>
    </row>
    <row r="89" spans="1:2">
      <c r="A89" s="3">
        <v>4.4000000000000004</v>
      </c>
      <c r="B89" s="3">
        <v>-118</v>
      </c>
    </row>
    <row r="90" spans="1:2">
      <c r="A90" s="3">
        <v>4.45</v>
      </c>
      <c r="B90" s="3">
        <v>-272</v>
      </c>
    </row>
    <row r="91" spans="1:2">
      <c r="A91" s="3">
        <v>4.5</v>
      </c>
      <c r="B91" s="3">
        <v>-352</v>
      </c>
    </row>
    <row r="92" spans="1:2">
      <c r="A92" s="3">
        <v>4.55</v>
      </c>
      <c r="B92" s="3">
        <v>-169</v>
      </c>
    </row>
    <row r="93" spans="1:2">
      <c r="A93" s="3">
        <v>4.6000000000000005</v>
      </c>
      <c r="B93" s="3">
        <v>-280</v>
      </c>
    </row>
    <row r="94" spans="1:2">
      <c r="A94" s="3">
        <v>4.6500000000000004</v>
      </c>
      <c r="B94" s="3">
        <v>366</v>
      </c>
    </row>
    <row r="95" spans="1:2">
      <c r="A95" s="3">
        <v>4.7</v>
      </c>
      <c r="B95" s="3">
        <v>280</v>
      </c>
    </row>
    <row r="96" spans="1:2">
      <c r="A96" s="3">
        <v>4.75</v>
      </c>
      <c r="B96" s="3">
        <v>-16</v>
      </c>
    </row>
    <row r="97" spans="1:2">
      <c r="A97" s="3">
        <v>4.8000000000000007</v>
      </c>
      <c r="B97" s="3">
        <v>191</v>
      </c>
    </row>
    <row r="98" spans="1:2">
      <c r="A98" s="3">
        <v>4.8500000000000005</v>
      </c>
      <c r="B98" s="3">
        <v>-629</v>
      </c>
    </row>
    <row r="99" spans="1:2">
      <c r="A99" s="3">
        <v>4.9000000000000004</v>
      </c>
      <c r="B99" s="3">
        <v>192</v>
      </c>
    </row>
    <row r="100" spans="1:2">
      <c r="A100" s="3">
        <v>4.95</v>
      </c>
      <c r="B100" s="3">
        <v>-596</v>
      </c>
    </row>
    <row r="101" spans="1:2">
      <c r="A101" s="3">
        <v>5</v>
      </c>
      <c r="B101" s="3">
        <v>-385</v>
      </c>
    </row>
    <row r="102" spans="1:2">
      <c r="A102" s="3">
        <v>5.0500000000000007</v>
      </c>
      <c r="B102" s="3">
        <v>-273</v>
      </c>
    </row>
    <row r="103" spans="1:2">
      <c r="A103" s="3">
        <v>5.1000000000000005</v>
      </c>
      <c r="B103" s="3">
        <v>299</v>
      </c>
    </row>
    <row r="104" spans="1:2">
      <c r="A104" s="3">
        <v>5.15</v>
      </c>
      <c r="B104" s="3">
        <v>243</v>
      </c>
    </row>
    <row r="105" spans="1:2">
      <c r="A105" s="3">
        <v>5.2</v>
      </c>
      <c r="B105" s="3">
        <v>58</v>
      </c>
    </row>
    <row r="106" spans="1:2">
      <c r="A106" s="3">
        <v>5.25</v>
      </c>
      <c r="B106" s="3">
        <v>-696</v>
      </c>
    </row>
    <row r="107" spans="1:2">
      <c r="A107" s="3">
        <v>5.3000000000000007</v>
      </c>
      <c r="B107" s="3">
        <v>-282</v>
      </c>
    </row>
    <row r="108" spans="1:2">
      <c r="A108" s="3">
        <v>5.3500000000000005</v>
      </c>
      <c r="B108" s="3">
        <v>-646</v>
      </c>
    </row>
    <row r="109" spans="1:2">
      <c r="A109" s="3">
        <v>5.4</v>
      </c>
      <c r="B109" s="3">
        <v>127</v>
      </c>
    </row>
    <row r="110" spans="1:2">
      <c r="A110" s="3">
        <v>5.45</v>
      </c>
      <c r="B110" s="3">
        <v>-425</v>
      </c>
    </row>
    <row r="111" spans="1:2">
      <c r="A111" s="3">
        <v>5.5</v>
      </c>
      <c r="B111" s="3">
        <v>-224</v>
      </c>
    </row>
    <row r="112" spans="1:2">
      <c r="A112" s="3">
        <v>5.5500000000000007</v>
      </c>
      <c r="B112" s="3">
        <v>9</v>
      </c>
    </row>
    <row r="113" spans="1:2">
      <c r="A113" s="3">
        <v>5.6000000000000005</v>
      </c>
      <c r="B113" s="3">
        <v>-788</v>
      </c>
    </row>
    <row r="114" spans="1:2">
      <c r="A114" s="3">
        <v>5.65</v>
      </c>
      <c r="B114" s="3">
        <v>-374</v>
      </c>
    </row>
    <row r="115" spans="1:2">
      <c r="A115" s="3">
        <v>5.7</v>
      </c>
      <c r="B115" s="3">
        <v>-751</v>
      </c>
    </row>
    <row r="116" spans="1:2">
      <c r="A116" s="3">
        <v>5.75</v>
      </c>
      <c r="B116" s="3">
        <v>3</v>
      </c>
    </row>
    <row r="117" spans="1:2">
      <c r="A117" s="3">
        <v>5.8000000000000007</v>
      </c>
      <c r="B117" s="3">
        <v>228</v>
      </c>
    </row>
    <row r="118" spans="1:2">
      <c r="A118" s="3">
        <v>5.8500000000000005</v>
      </c>
      <c r="B118" s="3">
        <v>-370</v>
      </c>
    </row>
    <row r="119" spans="1:2">
      <c r="A119" s="3">
        <v>5.9</v>
      </c>
      <c r="B119" s="3">
        <v>-108</v>
      </c>
    </row>
    <row r="120" spans="1:2">
      <c r="A120" s="3">
        <v>5.95</v>
      </c>
      <c r="B120" s="3">
        <v>-228</v>
      </c>
    </row>
    <row r="121" spans="1:2">
      <c r="A121" s="3">
        <v>6</v>
      </c>
      <c r="B121" s="3">
        <v>-694</v>
      </c>
    </row>
    <row r="122" spans="1:2">
      <c r="A122" s="3">
        <v>6.0500000000000007</v>
      </c>
      <c r="B122" s="3">
        <v>-363</v>
      </c>
    </row>
    <row r="123" spans="1:2">
      <c r="A123" s="3">
        <v>6.1000000000000005</v>
      </c>
      <c r="B123" s="3">
        <v>-30</v>
      </c>
    </row>
    <row r="124" spans="1:2">
      <c r="A124" s="3">
        <v>6.15</v>
      </c>
      <c r="B124" s="3">
        <v>-285</v>
      </c>
    </row>
    <row r="125" spans="1:2">
      <c r="A125" s="3">
        <v>6.2</v>
      </c>
      <c r="B125" s="3">
        <v>-482</v>
      </c>
    </row>
    <row r="126" spans="1:2">
      <c r="A126" s="3">
        <v>6.25</v>
      </c>
      <c r="B126" s="3">
        <v>-415</v>
      </c>
    </row>
    <row r="127" spans="1:2">
      <c r="A127" s="3">
        <v>6.3000000000000007</v>
      </c>
      <c r="B127" s="3">
        <v>-274</v>
      </c>
    </row>
    <row r="128" spans="1:2">
      <c r="A128" s="3">
        <v>6.3500000000000005</v>
      </c>
      <c r="B128" s="3">
        <v>50</v>
      </c>
    </row>
    <row r="129" spans="1:2">
      <c r="A129" s="3">
        <v>6.4</v>
      </c>
      <c r="B129" s="3">
        <v>331</v>
      </c>
    </row>
    <row r="130" spans="1:2">
      <c r="A130" s="3">
        <v>6.45</v>
      </c>
      <c r="B130" s="3">
        <v>16</v>
      </c>
    </row>
    <row r="131" spans="1:2">
      <c r="A131" s="3">
        <v>6.5</v>
      </c>
      <c r="B131" s="3">
        <v>-592</v>
      </c>
    </row>
    <row r="132" spans="1:2">
      <c r="A132" s="3">
        <v>6.5500000000000007</v>
      </c>
      <c r="B132" s="3">
        <v>-219</v>
      </c>
    </row>
    <row r="133" spans="1:2">
      <c r="A133" s="3">
        <v>6.6000000000000005</v>
      </c>
      <c r="B133" s="3">
        <v>314</v>
      </c>
    </row>
    <row r="134" spans="1:2">
      <c r="A134" s="3">
        <v>6.65</v>
      </c>
      <c r="B134" s="3">
        <v>378</v>
      </c>
    </row>
    <row r="135" spans="1:2">
      <c r="A135" s="3">
        <v>6.7</v>
      </c>
      <c r="B135" s="3">
        <v>-779</v>
      </c>
    </row>
    <row r="136" spans="1:2">
      <c r="A136" s="3">
        <v>6.75</v>
      </c>
      <c r="B136" s="3">
        <v>-511</v>
      </c>
    </row>
    <row r="137" spans="1:2">
      <c r="A137" s="3">
        <v>6.8000000000000007</v>
      </c>
      <c r="B137" s="3">
        <v>-639</v>
      </c>
    </row>
    <row r="138" spans="1:2">
      <c r="A138" s="3">
        <v>6.8500000000000005</v>
      </c>
      <c r="B138" s="3">
        <v>-313</v>
      </c>
    </row>
    <row r="139" spans="1:2">
      <c r="A139" s="3">
        <v>6.9</v>
      </c>
      <c r="B139" s="3">
        <v>-599</v>
      </c>
    </row>
    <row r="140" spans="1:2">
      <c r="A140" s="3">
        <v>6.95</v>
      </c>
      <c r="B140" s="3">
        <v>-779</v>
      </c>
    </row>
    <row r="141" spans="1:2">
      <c r="A141" s="3">
        <v>7</v>
      </c>
      <c r="B141" s="3">
        <v>-104</v>
      </c>
    </row>
    <row r="142" spans="1:2">
      <c r="A142" s="3">
        <v>7.0500000000000007</v>
      </c>
      <c r="B142" s="3">
        <v>-589</v>
      </c>
    </row>
    <row r="143" spans="1:2">
      <c r="A143" s="3">
        <v>7.1000000000000005</v>
      </c>
      <c r="B143" s="3">
        <v>-275</v>
      </c>
    </row>
    <row r="144" spans="1:2">
      <c r="A144" s="3">
        <v>7.15</v>
      </c>
      <c r="B144" s="3">
        <v>-661</v>
      </c>
    </row>
    <row r="145" spans="1:2">
      <c r="A145" s="3">
        <v>7.2</v>
      </c>
      <c r="B145" s="3">
        <v>-523</v>
      </c>
    </row>
    <row r="146" spans="1:2">
      <c r="A146" s="3">
        <v>7.25</v>
      </c>
      <c r="B146" s="3">
        <v>-268</v>
      </c>
    </row>
    <row r="147" spans="1:2">
      <c r="A147" s="3">
        <v>7.3000000000000007</v>
      </c>
      <c r="B147" s="3">
        <v>-114</v>
      </c>
    </row>
    <row r="148" spans="1:2">
      <c r="A148" s="3">
        <v>7.3500000000000005</v>
      </c>
      <c r="B148" s="3">
        <v>-44</v>
      </c>
    </row>
    <row r="149" spans="1:2">
      <c r="A149" s="3">
        <v>7.4</v>
      </c>
      <c r="B149" s="3">
        <v>-500</v>
      </c>
    </row>
    <row r="150" spans="1:2">
      <c r="A150" s="3">
        <v>7.45</v>
      </c>
      <c r="B150" s="3">
        <v>-405</v>
      </c>
    </row>
    <row r="151" spans="1:2">
      <c r="A151" s="3">
        <v>7.5</v>
      </c>
      <c r="B151" s="3">
        <v>-731</v>
      </c>
    </row>
    <row r="152" spans="1:2">
      <c r="A152" s="3">
        <v>7.5500000000000007</v>
      </c>
      <c r="B152" s="3">
        <v>-712</v>
      </c>
    </row>
    <row r="153" spans="1:2">
      <c r="A153" s="3">
        <v>7.6000000000000005</v>
      </c>
      <c r="B153" s="3">
        <v>-417</v>
      </c>
    </row>
    <row r="154" spans="1:2">
      <c r="A154" s="3">
        <v>7.65</v>
      </c>
      <c r="B154" s="3">
        <v>114</v>
      </c>
    </row>
    <row r="155" spans="1:2">
      <c r="A155" s="3">
        <v>7.7</v>
      </c>
      <c r="B155" s="3">
        <v>-622</v>
      </c>
    </row>
    <row r="156" spans="1:2">
      <c r="A156" s="3">
        <v>7.75</v>
      </c>
      <c r="B156" s="3">
        <v>311</v>
      </c>
    </row>
    <row r="157" spans="1:2">
      <c r="A157" s="3">
        <v>7.8000000000000007</v>
      </c>
      <c r="B157" s="3">
        <v>-78</v>
      </c>
    </row>
    <row r="158" spans="1:2">
      <c r="A158" s="3">
        <v>7.8500000000000005</v>
      </c>
      <c r="B158" s="3">
        <v>220</v>
      </c>
    </row>
    <row r="159" spans="1:2">
      <c r="A159" s="3">
        <v>7.9</v>
      </c>
      <c r="B159" s="3">
        <v>-570</v>
      </c>
    </row>
    <row r="160" spans="1:2">
      <c r="A160" s="3">
        <v>7.95</v>
      </c>
      <c r="B160" s="3">
        <v>-546</v>
      </c>
    </row>
    <row r="161" spans="1:2">
      <c r="A161" s="3">
        <v>8</v>
      </c>
      <c r="B161" s="3">
        <v>-686</v>
      </c>
    </row>
    <row r="162" spans="1:2">
      <c r="A162" s="3">
        <v>8.0500000000000007</v>
      </c>
      <c r="B162" s="3">
        <v>103</v>
      </c>
    </row>
    <row r="163" spans="1:2">
      <c r="A163" s="3">
        <v>8.1</v>
      </c>
      <c r="B163" s="3">
        <v>174</v>
      </c>
    </row>
    <row r="164" spans="1:2">
      <c r="A164" s="3">
        <v>8.15</v>
      </c>
      <c r="B164" s="3">
        <v>-191</v>
      </c>
    </row>
    <row r="165" spans="1:2">
      <c r="A165" s="3">
        <v>8.2000000000000011</v>
      </c>
      <c r="B165" s="3">
        <v>-415</v>
      </c>
    </row>
    <row r="166" spans="1:2">
      <c r="A166" s="3">
        <v>8.25</v>
      </c>
      <c r="B166" s="3">
        <v>-689</v>
      </c>
    </row>
    <row r="167" spans="1:2">
      <c r="A167" s="3">
        <v>8.3000000000000007</v>
      </c>
      <c r="B167" s="3">
        <v>-596</v>
      </c>
    </row>
    <row r="168" spans="1:2">
      <c r="A168" s="3">
        <v>8.35</v>
      </c>
      <c r="B168" s="3">
        <v>-182</v>
      </c>
    </row>
    <row r="169" spans="1:2">
      <c r="A169" s="3">
        <v>8.4</v>
      </c>
      <c r="B169" s="3">
        <v>297</v>
      </c>
    </row>
    <row r="170" spans="1:2">
      <c r="A170" s="3">
        <v>8.4500000000000011</v>
      </c>
      <c r="B170" s="3">
        <v>-3</v>
      </c>
    </row>
    <row r="171" spans="1:2">
      <c r="A171" s="3">
        <v>8.5</v>
      </c>
      <c r="B171" s="3">
        <v>-32</v>
      </c>
    </row>
    <row r="172" spans="1:2">
      <c r="A172" s="3">
        <v>8.5500000000000007</v>
      </c>
      <c r="B172" s="3">
        <v>-32</v>
      </c>
    </row>
    <row r="173" spans="1:2">
      <c r="A173" s="3">
        <v>8.6</v>
      </c>
      <c r="B173" s="3">
        <v>-107</v>
      </c>
    </row>
    <row r="174" spans="1:2">
      <c r="A174" s="3">
        <v>8.65</v>
      </c>
      <c r="B174" s="3">
        <v>6</v>
      </c>
    </row>
    <row r="175" spans="1:2">
      <c r="A175" s="3">
        <v>8.7000000000000011</v>
      </c>
      <c r="B175" s="3">
        <v>54</v>
      </c>
    </row>
    <row r="176" spans="1:2">
      <c r="A176" s="3">
        <v>8.75</v>
      </c>
      <c r="B176" s="3">
        <v>-34</v>
      </c>
    </row>
    <row r="177" spans="1:2">
      <c r="A177" s="3">
        <v>8.8000000000000007</v>
      </c>
      <c r="B177" s="3">
        <v>-487</v>
      </c>
    </row>
    <row r="178" spans="1:2">
      <c r="A178" s="3">
        <v>8.85</v>
      </c>
      <c r="B178" s="3">
        <v>132</v>
      </c>
    </row>
    <row r="179" spans="1:2">
      <c r="A179" s="3">
        <v>8.9</v>
      </c>
      <c r="B179" s="3">
        <v>82</v>
      </c>
    </row>
    <row r="180" spans="1:2">
      <c r="A180" s="3">
        <v>8.9500000000000011</v>
      </c>
      <c r="B180" s="3">
        <v>-739</v>
      </c>
    </row>
    <row r="181" spans="1:2">
      <c r="A181" s="3">
        <v>9</v>
      </c>
      <c r="B181" s="3">
        <v>-123</v>
      </c>
    </row>
    <row r="182" spans="1:2">
      <c r="A182" s="3">
        <v>9.0500000000000007</v>
      </c>
      <c r="B182" s="3">
        <v>228</v>
      </c>
    </row>
    <row r="183" spans="1:2">
      <c r="A183" s="3">
        <v>9.1</v>
      </c>
      <c r="B183" s="3">
        <v>1</v>
      </c>
    </row>
    <row r="184" spans="1:2">
      <c r="A184" s="3">
        <v>9.15</v>
      </c>
      <c r="B184" s="3">
        <v>-776</v>
      </c>
    </row>
    <row r="185" spans="1:2">
      <c r="A185" s="3">
        <v>9.2000000000000011</v>
      </c>
      <c r="B185" s="3">
        <v>344</v>
      </c>
    </row>
    <row r="186" spans="1:2">
      <c r="A186" s="3">
        <v>9.25</v>
      </c>
      <c r="B186" s="3">
        <v>-258</v>
      </c>
    </row>
    <row r="187" spans="1:2">
      <c r="A187" s="3">
        <v>9.3000000000000007</v>
      </c>
      <c r="B187" s="3">
        <v>-149</v>
      </c>
    </row>
    <row r="188" spans="1:2">
      <c r="A188" s="3">
        <v>9.35</v>
      </c>
      <c r="B188" s="3">
        <v>-685</v>
      </c>
    </row>
    <row r="189" spans="1:2">
      <c r="A189" s="3">
        <v>9.4</v>
      </c>
      <c r="B189" s="3">
        <v>-625</v>
      </c>
    </row>
    <row r="190" spans="1:2">
      <c r="A190" s="3">
        <v>9.4500000000000011</v>
      </c>
      <c r="B190" s="3">
        <v>-56</v>
      </c>
    </row>
    <row r="191" spans="1:2">
      <c r="A191" s="3">
        <v>9.5</v>
      </c>
      <c r="B191" s="3">
        <v>-693</v>
      </c>
    </row>
    <row r="192" spans="1:2">
      <c r="A192" s="3">
        <v>9.5500000000000007</v>
      </c>
      <c r="B192" s="3">
        <v>-120</v>
      </c>
    </row>
    <row r="193" spans="1:2">
      <c r="A193" s="3">
        <v>9.6000000000000014</v>
      </c>
      <c r="B193" s="3">
        <v>-22</v>
      </c>
    </row>
    <row r="194" spans="1:2">
      <c r="A194" s="3">
        <v>9.65</v>
      </c>
      <c r="B194" s="3">
        <v>-768</v>
      </c>
    </row>
    <row r="195" spans="1:2">
      <c r="A195" s="3">
        <v>9.7000000000000011</v>
      </c>
      <c r="B195" s="3">
        <v>-454</v>
      </c>
    </row>
    <row r="196" spans="1:2">
      <c r="A196" s="3">
        <v>9.75</v>
      </c>
      <c r="B196" s="3">
        <v>-708</v>
      </c>
    </row>
    <row r="197" spans="1:2">
      <c r="A197" s="3">
        <v>9.8000000000000007</v>
      </c>
      <c r="B197" s="3">
        <v>55</v>
      </c>
    </row>
    <row r="198" spans="1:2">
      <c r="A198" s="3">
        <v>9.8500000000000014</v>
      </c>
      <c r="B198" s="3">
        <v>-134</v>
      </c>
    </row>
    <row r="199" spans="1:2">
      <c r="A199" s="3">
        <v>9.9</v>
      </c>
      <c r="B199" s="3">
        <v>135</v>
      </c>
    </row>
    <row r="200" spans="1:2">
      <c r="A200" s="3">
        <v>9.9500000000000011</v>
      </c>
      <c r="B200" s="3">
        <v>214</v>
      </c>
    </row>
  </sheetData>
  <phoneticPr fontId="1" type="noConversion"/>
  <pageMargins left="0.7" right="0.7" top="0.75" bottom="0.75" header="0.3" footer="0.3"/>
  <legacyDrawing r:id="rId1"/>
  <controls>
    <control shapeId="4099" r:id="rId2" name="CommandButton2"/>
    <control shapeId="4098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B200"/>
  <sheetViews>
    <sheetView tabSelected="1" workbookViewId="0">
      <selection activeCell="G15" sqref="G15"/>
    </sheetView>
  </sheetViews>
  <sheetFormatPr defaultRowHeight="13.5"/>
  <cols>
    <col min="1" max="1" width="6.75" style="3" bestFit="1" customWidth="1"/>
    <col min="2" max="2" width="8.25" style="3" bestFit="1" customWidth="1"/>
    <col min="3" max="3" width="30.5" bestFit="1" customWidth="1"/>
    <col min="4" max="4" width="3.5" bestFit="1" customWidth="1"/>
  </cols>
  <sheetData>
    <row r="1" spans="1:2">
      <c r="A1" s="3">
        <v>0</v>
      </c>
      <c r="B1" s="3">
        <v>51</v>
      </c>
    </row>
    <row r="2" spans="1:2">
      <c r="A2" s="3">
        <v>0.05</v>
      </c>
      <c r="B2" s="3">
        <v>8</v>
      </c>
    </row>
    <row r="3" spans="1:2">
      <c r="A3" s="3">
        <v>0.1</v>
      </c>
      <c r="B3" s="3">
        <v>-568</v>
      </c>
    </row>
    <row r="4" spans="1:2">
      <c r="A4" s="3">
        <v>0.15000000000000002</v>
      </c>
      <c r="B4" s="3">
        <v>379</v>
      </c>
    </row>
    <row r="5" spans="1:2">
      <c r="A5" s="3">
        <v>0.2</v>
      </c>
      <c r="B5" s="3">
        <v>-800</v>
      </c>
    </row>
    <row r="6" spans="1:2">
      <c r="A6" s="3">
        <v>0.25</v>
      </c>
      <c r="B6" s="3">
        <v>-428</v>
      </c>
    </row>
    <row r="7" spans="1:2">
      <c r="A7" s="3">
        <v>0.30000000000000004</v>
      </c>
      <c r="B7" s="3">
        <v>-603</v>
      </c>
    </row>
    <row r="8" spans="1:2">
      <c r="A8" s="3">
        <v>0.35000000000000003</v>
      </c>
      <c r="B8" s="3">
        <v>260</v>
      </c>
    </row>
    <row r="9" spans="1:2">
      <c r="A9" s="3">
        <v>0.4</v>
      </c>
      <c r="B9" s="3">
        <v>358</v>
      </c>
    </row>
    <row r="10" spans="1:2">
      <c r="A10" s="3">
        <v>0.45</v>
      </c>
      <c r="B10" s="3">
        <v>-679</v>
      </c>
    </row>
    <row r="11" spans="1:2">
      <c r="A11" s="3">
        <v>0.5</v>
      </c>
      <c r="B11" s="3">
        <v>-179</v>
      </c>
    </row>
    <row r="12" spans="1:2">
      <c r="A12" s="3">
        <v>0.55000000000000004</v>
      </c>
      <c r="B12" s="3">
        <v>-622</v>
      </c>
    </row>
    <row r="13" spans="1:2">
      <c r="A13" s="3">
        <v>0.60000000000000009</v>
      </c>
      <c r="B13" s="3">
        <v>-613</v>
      </c>
    </row>
    <row r="14" spans="1:2">
      <c r="A14" s="3">
        <v>0.65</v>
      </c>
      <c r="B14" s="3">
        <v>-542</v>
      </c>
    </row>
    <row r="15" spans="1:2">
      <c r="A15" s="3">
        <v>0.70000000000000007</v>
      </c>
      <c r="B15" s="3">
        <v>-753</v>
      </c>
    </row>
    <row r="16" spans="1:2">
      <c r="A16" s="3">
        <v>0.75</v>
      </c>
      <c r="B16" s="3">
        <v>-392</v>
      </c>
    </row>
    <row r="17" spans="1:2">
      <c r="A17" s="3">
        <v>0.8</v>
      </c>
      <c r="B17" s="3">
        <v>104</v>
      </c>
    </row>
    <row r="18" spans="1:2">
      <c r="A18" s="3">
        <v>0.85000000000000009</v>
      </c>
      <c r="B18" s="3">
        <v>40</v>
      </c>
    </row>
    <row r="19" spans="1:2">
      <c r="A19" s="3">
        <v>0.9</v>
      </c>
      <c r="B19" s="3">
        <v>-797</v>
      </c>
    </row>
    <row r="20" spans="1:2">
      <c r="A20" s="3">
        <v>0.95000000000000007</v>
      </c>
      <c r="B20" s="3">
        <v>-313</v>
      </c>
    </row>
    <row r="21" spans="1:2">
      <c r="A21" s="3">
        <v>1</v>
      </c>
      <c r="B21" s="3">
        <v>341</v>
      </c>
    </row>
    <row r="22" spans="1:2">
      <c r="A22" s="3">
        <v>1.05</v>
      </c>
      <c r="B22" s="3">
        <v>-251</v>
      </c>
    </row>
    <row r="23" spans="1:2">
      <c r="A23" s="3">
        <v>1.1000000000000001</v>
      </c>
      <c r="B23" s="3">
        <v>307</v>
      </c>
    </row>
    <row r="24" spans="1:2">
      <c r="A24" s="3">
        <v>1.1500000000000001</v>
      </c>
      <c r="B24" s="3">
        <v>349</v>
      </c>
    </row>
    <row r="25" spans="1:2">
      <c r="A25" s="3">
        <v>1.2000000000000002</v>
      </c>
      <c r="B25" s="3">
        <v>-91</v>
      </c>
    </row>
    <row r="26" spans="1:2">
      <c r="A26" s="3">
        <v>1.25</v>
      </c>
      <c r="B26" s="3">
        <v>-771</v>
      </c>
    </row>
    <row r="27" spans="1:2">
      <c r="A27" s="3">
        <v>1.3</v>
      </c>
      <c r="B27" s="3">
        <v>-562</v>
      </c>
    </row>
    <row r="28" spans="1:2">
      <c r="A28" s="3">
        <v>1.35</v>
      </c>
      <c r="B28" s="3">
        <v>-391</v>
      </c>
    </row>
    <row r="29" spans="1:2">
      <c r="A29" s="3">
        <v>1.4000000000000001</v>
      </c>
      <c r="B29" s="3">
        <v>300</v>
      </c>
    </row>
    <row r="30" spans="1:2">
      <c r="A30" s="3">
        <v>1.4500000000000002</v>
      </c>
      <c r="B30" s="3">
        <v>314</v>
      </c>
    </row>
    <row r="31" spans="1:2">
      <c r="A31" s="3">
        <v>1.5</v>
      </c>
      <c r="B31" s="3">
        <v>61</v>
      </c>
    </row>
    <row r="32" spans="1:2">
      <c r="A32" s="3">
        <v>1.55</v>
      </c>
      <c r="B32" s="3">
        <v>-129</v>
      </c>
    </row>
    <row r="33" spans="1:2">
      <c r="A33" s="3">
        <v>1.6</v>
      </c>
      <c r="B33" s="3">
        <v>-274</v>
      </c>
    </row>
    <row r="34" spans="1:2">
      <c r="A34" s="3">
        <v>1.6500000000000001</v>
      </c>
      <c r="B34" s="3">
        <v>-569</v>
      </c>
    </row>
    <row r="35" spans="1:2">
      <c r="A35" s="3">
        <v>1.7000000000000002</v>
      </c>
      <c r="B35" s="3">
        <v>-17</v>
      </c>
    </row>
    <row r="36" spans="1:2">
      <c r="A36" s="3">
        <v>1.75</v>
      </c>
      <c r="B36" s="3">
        <v>334</v>
      </c>
    </row>
    <row r="37" spans="1:2">
      <c r="A37" s="3">
        <v>1.8</v>
      </c>
      <c r="B37" s="3">
        <v>-61</v>
      </c>
    </row>
    <row r="38" spans="1:2">
      <c r="A38" s="3">
        <v>1.85</v>
      </c>
      <c r="B38" s="3">
        <v>200</v>
      </c>
    </row>
    <row r="39" spans="1:2">
      <c r="A39" s="3">
        <v>1.9000000000000001</v>
      </c>
      <c r="B39" s="3">
        <v>99</v>
      </c>
    </row>
    <row r="40" spans="1:2">
      <c r="A40" s="3">
        <v>1.9500000000000002</v>
      </c>
      <c r="B40" s="3">
        <v>-304</v>
      </c>
    </row>
    <row r="41" spans="1:2">
      <c r="A41" s="3">
        <v>2</v>
      </c>
      <c r="B41" s="3">
        <v>-649</v>
      </c>
    </row>
    <row r="42" spans="1:2">
      <c r="A42" s="3">
        <v>2.0500000000000003</v>
      </c>
      <c r="B42" s="3">
        <v>-601</v>
      </c>
    </row>
    <row r="43" spans="1:2">
      <c r="A43" s="3">
        <v>2.1</v>
      </c>
      <c r="B43" s="3">
        <v>-173</v>
      </c>
    </row>
    <row r="44" spans="1:2">
      <c r="A44" s="3">
        <v>2.15</v>
      </c>
      <c r="B44" s="3">
        <v>-788</v>
      </c>
    </row>
    <row r="45" spans="1:2">
      <c r="A45" s="3">
        <v>2.2000000000000002</v>
      </c>
      <c r="B45" s="3">
        <v>-170</v>
      </c>
    </row>
    <row r="46" spans="1:2">
      <c r="A46" s="3">
        <v>2.25</v>
      </c>
      <c r="B46" s="3">
        <v>-368</v>
      </c>
    </row>
    <row r="47" spans="1:2">
      <c r="A47" s="3">
        <v>2.3000000000000003</v>
      </c>
      <c r="B47" s="3">
        <v>271</v>
      </c>
    </row>
    <row r="48" spans="1:2">
      <c r="A48" s="3">
        <v>2.35</v>
      </c>
      <c r="B48" s="3">
        <v>-591</v>
      </c>
    </row>
    <row r="49" spans="1:2">
      <c r="A49" s="3">
        <v>2.4000000000000004</v>
      </c>
      <c r="B49" s="3">
        <v>167</v>
      </c>
    </row>
    <row r="50" spans="1:2">
      <c r="A50" s="3">
        <v>2.4500000000000002</v>
      </c>
      <c r="B50" s="3">
        <v>-300</v>
      </c>
    </row>
    <row r="51" spans="1:2">
      <c r="A51" s="3">
        <v>2.5</v>
      </c>
      <c r="B51" s="3">
        <v>-644</v>
      </c>
    </row>
    <row r="52" spans="1:2">
      <c r="A52" s="3">
        <v>2.5500000000000003</v>
      </c>
      <c r="B52" s="3">
        <v>187</v>
      </c>
    </row>
    <row r="53" spans="1:2">
      <c r="A53" s="3">
        <v>2.6</v>
      </c>
      <c r="B53" s="3">
        <v>147</v>
      </c>
    </row>
    <row r="54" spans="1:2">
      <c r="A54" s="3">
        <v>2.6500000000000004</v>
      </c>
      <c r="B54" s="3">
        <v>-228</v>
      </c>
    </row>
    <row r="55" spans="1:2">
      <c r="A55" s="3">
        <v>2.7</v>
      </c>
      <c r="B55" s="3">
        <v>320</v>
      </c>
    </row>
    <row r="56" spans="1:2">
      <c r="A56" s="3">
        <v>2.75</v>
      </c>
      <c r="B56" s="3">
        <v>-207</v>
      </c>
    </row>
    <row r="57" spans="1:2">
      <c r="A57" s="3">
        <v>2.8000000000000003</v>
      </c>
      <c r="B57" s="3">
        <v>294</v>
      </c>
    </row>
    <row r="58" spans="1:2">
      <c r="A58" s="3">
        <v>2.85</v>
      </c>
      <c r="B58" s="3">
        <v>56</v>
      </c>
    </row>
    <row r="59" spans="1:2">
      <c r="A59" s="3">
        <v>2.9000000000000004</v>
      </c>
      <c r="B59" s="3">
        <v>65</v>
      </c>
    </row>
    <row r="60" spans="1:2">
      <c r="A60" s="3">
        <v>2.95</v>
      </c>
      <c r="B60" s="3">
        <v>318</v>
      </c>
    </row>
    <row r="61" spans="1:2">
      <c r="A61" s="3">
        <v>3</v>
      </c>
      <c r="B61" s="3">
        <v>-97</v>
      </c>
    </row>
    <row r="62" spans="1:2">
      <c r="A62" s="3">
        <v>3.0500000000000003</v>
      </c>
      <c r="B62" s="3">
        <v>-559</v>
      </c>
    </row>
    <row r="63" spans="1:2">
      <c r="A63" s="3">
        <v>3.1</v>
      </c>
      <c r="B63" s="3">
        <v>338</v>
      </c>
    </row>
    <row r="64" spans="1:2">
      <c r="A64" s="3">
        <v>3.1500000000000004</v>
      </c>
      <c r="B64" s="3">
        <v>-47</v>
      </c>
    </row>
    <row r="65" spans="1:2">
      <c r="A65" s="3">
        <v>3.2</v>
      </c>
      <c r="B65" s="3">
        <v>-637</v>
      </c>
    </row>
    <row r="66" spans="1:2">
      <c r="A66" s="3">
        <v>3.25</v>
      </c>
      <c r="B66" s="3">
        <v>24</v>
      </c>
    </row>
    <row r="67" spans="1:2">
      <c r="A67" s="3">
        <v>3.3000000000000003</v>
      </c>
      <c r="B67" s="3">
        <v>-563</v>
      </c>
    </row>
    <row r="68" spans="1:2">
      <c r="A68" s="3">
        <v>3.35</v>
      </c>
      <c r="B68" s="3">
        <v>-81</v>
      </c>
    </row>
    <row r="69" spans="1:2">
      <c r="A69" s="3">
        <v>3.4000000000000004</v>
      </c>
      <c r="B69" s="3">
        <v>-336</v>
      </c>
    </row>
    <row r="70" spans="1:2">
      <c r="A70" s="3">
        <v>3.45</v>
      </c>
      <c r="B70" s="3">
        <v>-703</v>
      </c>
    </row>
    <row r="71" spans="1:2">
      <c r="A71" s="3">
        <v>3.5</v>
      </c>
      <c r="B71" s="3">
        <v>86</v>
      </c>
    </row>
    <row r="72" spans="1:2">
      <c r="A72" s="3">
        <v>3.5500000000000003</v>
      </c>
      <c r="B72" s="3">
        <v>302</v>
      </c>
    </row>
    <row r="73" spans="1:2">
      <c r="A73" s="3">
        <v>3.6</v>
      </c>
      <c r="B73" s="3">
        <v>-216</v>
      </c>
    </row>
    <row r="74" spans="1:2">
      <c r="A74" s="3">
        <v>3.6500000000000004</v>
      </c>
      <c r="B74" s="3">
        <v>302</v>
      </c>
    </row>
    <row r="75" spans="1:2">
      <c r="A75" s="3">
        <v>3.7</v>
      </c>
      <c r="B75" s="3">
        <v>-230</v>
      </c>
    </row>
    <row r="76" spans="1:2">
      <c r="A76" s="3">
        <v>3.75</v>
      </c>
      <c r="B76" s="3">
        <v>-643</v>
      </c>
    </row>
    <row r="77" spans="1:2">
      <c r="A77" s="3">
        <v>3.8000000000000003</v>
      </c>
      <c r="B77" s="3">
        <v>-673</v>
      </c>
    </row>
    <row r="78" spans="1:2">
      <c r="A78" s="3">
        <v>3.85</v>
      </c>
      <c r="B78" s="3">
        <v>168</v>
      </c>
    </row>
    <row r="79" spans="1:2">
      <c r="A79" s="3">
        <v>3.9000000000000004</v>
      </c>
      <c r="B79" s="3">
        <v>-206</v>
      </c>
    </row>
    <row r="80" spans="1:2">
      <c r="A80" s="3">
        <v>3.95</v>
      </c>
      <c r="B80" s="3">
        <v>-620</v>
      </c>
    </row>
    <row r="81" spans="1:2">
      <c r="A81" s="3">
        <v>4</v>
      </c>
      <c r="B81" s="3">
        <v>-172</v>
      </c>
    </row>
    <row r="82" spans="1:2">
      <c r="A82" s="3">
        <v>4.05</v>
      </c>
      <c r="B82" s="3">
        <v>-674</v>
      </c>
    </row>
    <row r="83" spans="1:2">
      <c r="A83" s="3">
        <v>4.1000000000000005</v>
      </c>
      <c r="B83" s="3">
        <v>-175</v>
      </c>
    </row>
    <row r="84" spans="1:2">
      <c r="A84" s="3">
        <v>4.1500000000000004</v>
      </c>
      <c r="B84" s="3">
        <v>-120</v>
      </c>
    </row>
    <row r="85" spans="1:2">
      <c r="A85" s="3">
        <v>4.2</v>
      </c>
      <c r="B85" s="3">
        <v>-430</v>
      </c>
    </row>
    <row r="86" spans="1:2">
      <c r="A86" s="3">
        <v>4.25</v>
      </c>
      <c r="B86" s="3">
        <v>-111</v>
      </c>
    </row>
    <row r="87" spans="1:2">
      <c r="A87" s="3">
        <v>4.3</v>
      </c>
      <c r="B87" s="3">
        <v>-298</v>
      </c>
    </row>
    <row r="88" spans="1:2">
      <c r="A88" s="3">
        <v>4.3500000000000005</v>
      </c>
      <c r="B88" s="3">
        <v>-311</v>
      </c>
    </row>
    <row r="89" spans="1:2">
      <c r="A89" s="3">
        <v>4.4000000000000004</v>
      </c>
      <c r="B89" s="3">
        <v>-118</v>
      </c>
    </row>
    <row r="90" spans="1:2">
      <c r="A90" s="3">
        <v>4.45</v>
      </c>
      <c r="B90" s="3">
        <v>-272</v>
      </c>
    </row>
    <row r="91" spans="1:2">
      <c r="A91" s="3">
        <v>4.5</v>
      </c>
      <c r="B91" s="3">
        <v>-352</v>
      </c>
    </row>
    <row r="92" spans="1:2">
      <c r="A92" s="3">
        <v>4.55</v>
      </c>
      <c r="B92" s="3">
        <v>-169</v>
      </c>
    </row>
    <row r="93" spans="1:2">
      <c r="A93" s="3">
        <v>4.6000000000000005</v>
      </c>
      <c r="B93" s="3">
        <v>-280</v>
      </c>
    </row>
    <row r="94" spans="1:2">
      <c r="A94" s="3">
        <v>4.6500000000000004</v>
      </c>
      <c r="B94" s="3">
        <v>366</v>
      </c>
    </row>
    <row r="95" spans="1:2">
      <c r="A95" s="3">
        <v>4.7</v>
      </c>
      <c r="B95" s="3">
        <v>280</v>
      </c>
    </row>
    <row r="96" spans="1:2">
      <c r="A96" s="3">
        <v>4.75</v>
      </c>
      <c r="B96" s="3">
        <v>-16</v>
      </c>
    </row>
    <row r="97" spans="1:2">
      <c r="A97" s="3">
        <v>4.8000000000000007</v>
      </c>
      <c r="B97" s="3">
        <v>191</v>
      </c>
    </row>
    <row r="98" spans="1:2">
      <c r="A98" s="3">
        <v>4.8500000000000005</v>
      </c>
      <c r="B98" s="3">
        <v>-629</v>
      </c>
    </row>
    <row r="99" spans="1:2">
      <c r="A99" s="3">
        <v>4.9000000000000004</v>
      </c>
      <c r="B99" s="3">
        <v>192</v>
      </c>
    </row>
    <row r="100" spans="1:2">
      <c r="A100" s="3">
        <v>4.95</v>
      </c>
      <c r="B100" s="3">
        <v>-596</v>
      </c>
    </row>
    <row r="101" spans="1:2">
      <c r="A101" s="3">
        <v>5</v>
      </c>
      <c r="B101" s="3">
        <v>-385</v>
      </c>
    </row>
    <row r="102" spans="1:2">
      <c r="A102" s="3">
        <v>5.0500000000000007</v>
      </c>
      <c r="B102" s="3">
        <v>-273</v>
      </c>
    </row>
    <row r="103" spans="1:2">
      <c r="A103" s="3">
        <v>5.1000000000000005</v>
      </c>
      <c r="B103" s="3">
        <v>299</v>
      </c>
    </row>
    <row r="104" spans="1:2">
      <c r="A104" s="3">
        <v>5.15</v>
      </c>
      <c r="B104" s="3">
        <v>243</v>
      </c>
    </row>
    <row r="105" spans="1:2">
      <c r="A105" s="3">
        <v>5.2</v>
      </c>
      <c r="B105" s="3">
        <v>58</v>
      </c>
    </row>
    <row r="106" spans="1:2">
      <c r="A106" s="3">
        <v>5.25</v>
      </c>
      <c r="B106" s="3">
        <v>-696</v>
      </c>
    </row>
    <row r="107" spans="1:2">
      <c r="A107" s="3">
        <v>5.3000000000000007</v>
      </c>
      <c r="B107" s="3">
        <v>-282</v>
      </c>
    </row>
    <row r="108" spans="1:2">
      <c r="A108" s="3">
        <v>5.3500000000000005</v>
      </c>
      <c r="B108" s="3">
        <v>-646</v>
      </c>
    </row>
    <row r="109" spans="1:2">
      <c r="A109" s="3">
        <v>5.4</v>
      </c>
      <c r="B109" s="3">
        <v>127</v>
      </c>
    </row>
    <row r="110" spans="1:2">
      <c r="A110" s="3">
        <v>5.45</v>
      </c>
      <c r="B110" s="3">
        <v>-425</v>
      </c>
    </row>
    <row r="111" spans="1:2">
      <c r="A111" s="3">
        <v>5.5</v>
      </c>
      <c r="B111" s="3">
        <v>-224</v>
      </c>
    </row>
    <row r="112" spans="1:2">
      <c r="A112" s="3">
        <v>5.5500000000000007</v>
      </c>
      <c r="B112" s="3">
        <v>9</v>
      </c>
    </row>
    <row r="113" spans="1:2">
      <c r="A113" s="3">
        <v>5.6000000000000005</v>
      </c>
      <c r="B113" s="3">
        <v>-788</v>
      </c>
    </row>
    <row r="114" spans="1:2">
      <c r="A114" s="3">
        <v>5.65</v>
      </c>
      <c r="B114" s="3">
        <v>-374</v>
      </c>
    </row>
    <row r="115" spans="1:2">
      <c r="A115" s="3">
        <v>5.7</v>
      </c>
      <c r="B115" s="3">
        <v>-751</v>
      </c>
    </row>
    <row r="116" spans="1:2">
      <c r="A116" s="3">
        <v>5.75</v>
      </c>
      <c r="B116" s="3">
        <v>3</v>
      </c>
    </row>
    <row r="117" spans="1:2">
      <c r="A117" s="3">
        <v>5.8000000000000007</v>
      </c>
      <c r="B117" s="3">
        <v>228</v>
      </c>
    </row>
    <row r="118" spans="1:2">
      <c r="A118" s="3">
        <v>5.8500000000000005</v>
      </c>
      <c r="B118" s="3">
        <v>-370</v>
      </c>
    </row>
    <row r="119" spans="1:2">
      <c r="A119" s="3">
        <v>5.9</v>
      </c>
      <c r="B119" s="3">
        <v>-108</v>
      </c>
    </row>
    <row r="120" spans="1:2">
      <c r="A120" s="3">
        <v>5.95</v>
      </c>
      <c r="B120" s="3">
        <v>-228</v>
      </c>
    </row>
    <row r="121" spans="1:2">
      <c r="A121" s="3">
        <v>6</v>
      </c>
      <c r="B121" s="3">
        <v>-694</v>
      </c>
    </row>
    <row r="122" spans="1:2">
      <c r="A122" s="3">
        <v>6.0500000000000007</v>
      </c>
      <c r="B122" s="3">
        <v>-363</v>
      </c>
    </row>
    <row r="123" spans="1:2">
      <c r="A123" s="3">
        <v>6.1000000000000005</v>
      </c>
      <c r="B123" s="3">
        <v>-30</v>
      </c>
    </row>
    <row r="124" spans="1:2">
      <c r="A124" s="3">
        <v>6.15</v>
      </c>
      <c r="B124" s="3">
        <v>-285</v>
      </c>
    </row>
    <row r="125" spans="1:2">
      <c r="A125" s="3">
        <v>6.2</v>
      </c>
      <c r="B125" s="3">
        <v>-482</v>
      </c>
    </row>
    <row r="126" spans="1:2">
      <c r="A126" s="3">
        <v>6.25</v>
      </c>
      <c r="B126" s="3">
        <v>-415</v>
      </c>
    </row>
    <row r="127" spans="1:2">
      <c r="A127" s="3">
        <v>6.3000000000000007</v>
      </c>
      <c r="B127" s="3">
        <v>-274</v>
      </c>
    </row>
    <row r="128" spans="1:2">
      <c r="A128" s="3">
        <v>6.3500000000000005</v>
      </c>
      <c r="B128" s="3">
        <v>50</v>
      </c>
    </row>
    <row r="129" spans="1:2">
      <c r="A129" s="3">
        <v>6.4</v>
      </c>
      <c r="B129" s="3">
        <v>331</v>
      </c>
    </row>
    <row r="130" spans="1:2">
      <c r="A130" s="3">
        <v>6.45</v>
      </c>
      <c r="B130" s="3">
        <v>16</v>
      </c>
    </row>
    <row r="131" spans="1:2">
      <c r="A131" s="3">
        <v>6.5</v>
      </c>
      <c r="B131" s="3">
        <v>-592</v>
      </c>
    </row>
    <row r="132" spans="1:2">
      <c r="A132" s="3">
        <v>6.5500000000000007</v>
      </c>
      <c r="B132" s="3">
        <v>-219</v>
      </c>
    </row>
    <row r="133" spans="1:2">
      <c r="A133" s="3">
        <v>6.6000000000000005</v>
      </c>
      <c r="B133" s="3">
        <v>314</v>
      </c>
    </row>
    <row r="134" spans="1:2">
      <c r="A134" s="3">
        <v>6.65</v>
      </c>
      <c r="B134" s="3">
        <v>378</v>
      </c>
    </row>
    <row r="135" spans="1:2">
      <c r="A135" s="3">
        <v>6.7</v>
      </c>
      <c r="B135" s="3">
        <v>-779</v>
      </c>
    </row>
    <row r="136" spans="1:2">
      <c r="A136" s="3">
        <v>6.75</v>
      </c>
      <c r="B136" s="3">
        <v>-511</v>
      </c>
    </row>
    <row r="137" spans="1:2">
      <c r="A137" s="3">
        <v>6.8000000000000007</v>
      </c>
      <c r="B137" s="3">
        <v>-639</v>
      </c>
    </row>
    <row r="138" spans="1:2">
      <c r="A138" s="3">
        <v>6.8500000000000005</v>
      </c>
      <c r="B138" s="3">
        <v>-313</v>
      </c>
    </row>
    <row r="139" spans="1:2">
      <c r="A139" s="3">
        <v>6.9</v>
      </c>
      <c r="B139" s="3">
        <v>-599</v>
      </c>
    </row>
    <row r="140" spans="1:2">
      <c r="A140" s="3">
        <v>6.95</v>
      </c>
      <c r="B140" s="3">
        <v>-779</v>
      </c>
    </row>
    <row r="141" spans="1:2">
      <c r="A141" s="3">
        <v>7</v>
      </c>
      <c r="B141" s="3">
        <v>-104</v>
      </c>
    </row>
    <row r="142" spans="1:2">
      <c r="A142" s="3">
        <v>7.0500000000000007</v>
      </c>
      <c r="B142" s="3">
        <v>-589</v>
      </c>
    </row>
    <row r="143" spans="1:2">
      <c r="A143" s="3">
        <v>7.1000000000000005</v>
      </c>
      <c r="B143" s="3">
        <v>-275</v>
      </c>
    </row>
    <row r="144" spans="1:2">
      <c r="A144" s="3">
        <v>7.15</v>
      </c>
      <c r="B144" s="3">
        <v>-661</v>
      </c>
    </row>
    <row r="145" spans="1:2">
      <c r="A145" s="3">
        <v>7.2</v>
      </c>
      <c r="B145" s="3">
        <v>-523</v>
      </c>
    </row>
    <row r="146" spans="1:2">
      <c r="A146" s="3">
        <v>7.25</v>
      </c>
      <c r="B146" s="3">
        <v>-268</v>
      </c>
    </row>
    <row r="147" spans="1:2">
      <c r="A147" s="3">
        <v>7.3000000000000007</v>
      </c>
      <c r="B147" s="3">
        <v>-114</v>
      </c>
    </row>
    <row r="148" spans="1:2">
      <c r="A148" s="3">
        <v>7.3500000000000005</v>
      </c>
      <c r="B148" s="3">
        <v>-44</v>
      </c>
    </row>
    <row r="149" spans="1:2">
      <c r="A149" s="3">
        <v>7.4</v>
      </c>
      <c r="B149" s="3">
        <v>-500</v>
      </c>
    </row>
    <row r="150" spans="1:2">
      <c r="A150" s="3">
        <v>7.45</v>
      </c>
      <c r="B150" s="3">
        <v>-405</v>
      </c>
    </row>
    <row r="151" spans="1:2">
      <c r="A151" s="3">
        <v>7.5</v>
      </c>
      <c r="B151" s="3">
        <v>-731</v>
      </c>
    </row>
    <row r="152" spans="1:2">
      <c r="A152" s="3">
        <v>7.5500000000000007</v>
      </c>
      <c r="B152" s="3">
        <v>-712</v>
      </c>
    </row>
    <row r="153" spans="1:2">
      <c r="A153" s="3">
        <v>7.6000000000000005</v>
      </c>
      <c r="B153" s="3">
        <v>-417</v>
      </c>
    </row>
    <row r="154" spans="1:2">
      <c r="A154" s="3">
        <v>7.65</v>
      </c>
      <c r="B154" s="3">
        <v>114</v>
      </c>
    </row>
    <row r="155" spans="1:2">
      <c r="A155" s="3">
        <v>7.7</v>
      </c>
      <c r="B155" s="3">
        <v>-622</v>
      </c>
    </row>
    <row r="156" spans="1:2">
      <c r="A156" s="3">
        <v>7.75</v>
      </c>
      <c r="B156" s="3">
        <v>311</v>
      </c>
    </row>
    <row r="157" spans="1:2">
      <c r="A157" s="3">
        <v>7.8000000000000007</v>
      </c>
      <c r="B157" s="3">
        <v>-78</v>
      </c>
    </row>
    <row r="158" spans="1:2">
      <c r="A158" s="3">
        <v>7.8500000000000005</v>
      </c>
      <c r="B158" s="3">
        <v>220</v>
      </c>
    </row>
    <row r="159" spans="1:2">
      <c r="A159" s="3">
        <v>7.9</v>
      </c>
      <c r="B159" s="3">
        <v>-570</v>
      </c>
    </row>
    <row r="160" spans="1:2">
      <c r="A160" s="3">
        <v>7.95</v>
      </c>
      <c r="B160" s="3">
        <v>-546</v>
      </c>
    </row>
    <row r="161" spans="1:2">
      <c r="A161" s="3">
        <v>8</v>
      </c>
      <c r="B161" s="3">
        <v>-686</v>
      </c>
    </row>
    <row r="162" spans="1:2">
      <c r="A162" s="3">
        <v>8.0500000000000007</v>
      </c>
      <c r="B162" s="3">
        <v>103</v>
      </c>
    </row>
    <row r="163" spans="1:2">
      <c r="A163" s="3">
        <v>8.1</v>
      </c>
      <c r="B163" s="3">
        <v>174</v>
      </c>
    </row>
    <row r="164" spans="1:2">
      <c r="A164" s="3">
        <v>8.15</v>
      </c>
      <c r="B164" s="3">
        <v>-191</v>
      </c>
    </row>
    <row r="165" spans="1:2">
      <c r="A165" s="3">
        <v>8.2000000000000011</v>
      </c>
      <c r="B165" s="3">
        <v>-415</v>
      </c>
    </row>
    <row r="166" spans="1:2">
      <c r="A166" s="3">
        <v>8.25</v>
      </c>
      <c r="B166" s="3">
        <v>-689</v>
      </c>
    </row>
    <row r="167" spans="1:2">
      <c r="A167" s="3">
        <v>8.3000000000000007</v>
      </c>
      <c r="B167" s="3">
        <v>-596</v>
      </c>
    </row>
    <row r="168" spans="1:2">
      <c r="A168" s="3">
        <v>8.35</v>
      </c>
      <c r="B168" s="3">
        <v>-182</v>
      </c>
    </row>
    <row r="169" spans="1:2">
      <c r="A169" s="3">
        <v>8.4</v>
      </c>
      <c r="B169" s="3">
        <v>297</v>
      </c>
    </row>
    <row r="170" spans="1:2">
      <c r="A170" s="3">
        <v>8.4500000000000011</v>
      </c>
      <c r="B170" s="3">
        <v>-3</v>
      </c>
    </row>
    <row r="171" spans="1:2">
      <c r="A171" s="3">
        <v>8.5</v>
      </c>
      <c r="B171" s="3">
        <v>-32</v>
      </c>
    </row>
    <row r="172" spans="1:2">
      <c r="A172" s="3">
        <v>8.5500000000000007</v>
      </c>
      <c r="B172" s="3">
        <v>-32</v>
      </c>
    </row>
    <row r="173" spans="1:2">
      <c r="A173" s="3">
        <v>8.6</v>
      </c>
      <c r="B173" s="3">
        <v>-107</v>
      </c>
    </row>
    <row r="174" spans="1:2">
      <c r="A174" s="3">
        <v>8.65</v>
      </c>
      <c r="B174" s="3">
        <v>6</v>
      </c>
    </row>
    <row r="175" spans="1:2">
      <c r="A175" s="3">
        <v>8.7000000000000011</v>
      </c>
      <c r="B175" s="3">
        <v>54</v>
      </c>
    </row>
    <row r="176" spans="1:2">
      <c r="A176" s="3">
        <v>8.75</v>
      </c>
      <c r="B176" s="3">
        <v>-34</v>
      </c>
    </row>
    <row r="177" spans="1:2">
      <c r="A177" s="3">
        <v>8.8000000000000007</v>
      </c>
      <c r="B177" s="3">
        <v>-487</v>
      </c>
    </row>
    <row r="178" spans="1:2">
      <c r="A178" s="3">
        <v>8.85</v>
      </c>
      <c r="B178" s="3">
        <v>132</v>
      </c>
    </row>
    <row r="179" spans="1:2">
      <c r="A179" s="3">
        <v>8.9</v>
      </c>
      <c r="B179" s="3">
        <v>82</v>
      </c>
    </row>
    <row r="180" spans="1:2">
      <c r="A180" s="3">
        <v>8.9500000000000011</v>
      </c>
      <c r="B180" s="3">
        <v>-739</v>
      </c>
    </row>
    <row r="181" spans="1:2">
      <c r="A181" s="3">
        <v>9</v>
      </c>
      <c r="B181" s="3">
        <v>-123</v>
      </c>
    </row>
    <row r="182" spans="1:2">
      <c r="A182" s="3">
        <v>9.0500000000000007</v>
      </c>
      <c r="B182" s="3">
        <v>228</v>
      </c>
    </row>
    <row r="183" spans="1:2">
      <c r="A183" s="3">
        <v>9.1</v>
      </c>
      <c r="B183" s="3">
        <v>1</v>
      </c>
    </row>
    <row r="184" spans="1:2">
      <c r="A184" s="3">
        <v>9.15</v>
      </c>
      <c r="B184" s="3">
        <v>-776</v>
      </c>
    </row>
    <row r="185" spans="1:2">
      <c r="A185" s="3">
        <v>9.2000000000000011</v>
      </c>
      <c r="B185" s="3">
        <v>344</v>
      </c>
    </row>
    <row r="186" spans="1:2">
      <c r="A186" s="3">
        <v>9.25</v>
      </c>
      <c r="B186" s="3">
        <v>-258</v>
      </c>
    </row>
    <row r="187" spans="1:2">
      <c r="A187" s="3">
        <v>9.3000000000000007</v>
      </c>
      <c r="B187" s="3">
        <v>-149</v>
      </c>
    </row>
    <row r="188" spans="1:2">
      <c r="A188" s="3">
        <v>9.35</v>
      </c>
      <c r="B188" s="3">
        <v>-685</v>
      </c>
    </row>
    <row r="189" spans="1:2">
      <c r="A189" s="3">
        <v>9.4</v>
      </c>
      <c r="B189" s="3">
        <v>-625</v>
      </c>
    </row>
    <row r="190" spans="1:2">
      <c r="A190" s="3">
        <v>9.4500000000000011</v>
      </c>
      <c r="B190" s="3">
        <v>-56</v>
      </c>
    </row>
    <row r="191" spans="1:2">
      <c r="A191" s="3">
        <v>9.5</v>
      </c>
      <c r="B191" s="3">
        <v>-693</v>
      </c>
    </row>
    <row r="192" spans="1:2">
      <c r="A192" s="3">
        <v>9.5500000000000007</v>
      </c>
      <c r="B192" s="3">
        <v>-120</v>
      </c>
    </row>
    <row r="193" spans="1:2">
      <c r="A193" s="3">
        <v>9.6000000000000014</v>
      </c>
      <c r="B193" s="3">
        <v>-22</v>
      </c>
    </row>
    <row r="194" spans="1:2">
      <c r="A194" s="3">
        <v>9.65</v>
      </c>
      <c r="B194" s="3">
        <v>-768</v>
      </c>
    </row>
    <row r="195" spans="1:2">
      <c r="A195" s="3">
        <v>9.7000000000000011</v>
      </c>
      <c r="B195" s="3">
        <v>-454</v>
      </c>
    </row>
    <row r="196" spans="1:2">
      <c r="A196" s="3">
        <v>9.75</v>
      </c>
      <c r="B196" s="3">
        <v>-708</v>
      </c>
    </row>
    <row r="197" spans="1:2">
      <c r="A197" s="3">
        <v>9.8000000000000007</v>
      </c>
      <c r="B197" s="3">
        <v>55</v>
      </c>
    </row>
    <row r="198" spans="1:2">
      <c r="A198" s="3">
        <v>9.8500000000000014</v>
      </c>
      <c r="B198" s="3">
        <v>-134</v>
      </c>
    </row>
    <row r="199" spans="1:2">
      <c r="A199" s="3">
        <v>9.9</v>
      </c>
      <c r="B199" s="3">
        <v>135</v>
      </c>
    </row>
    <row r="200" spans="1:2">
      <c r="A200" s="3">
        <v>9.9500000000000011</v>
      </c>
      <c r="B200" s="3">
        <v>214</v>
      </c>
    </row>
  </sheetData>
  <sortState ref="A75:P90">
    <sortCondition ref="D75:D90"/>
  </sortState>
  <phoneticPr fontId="1" type="noConversion"/>
  <pageMargins left="0.7" right="0.7" top="0.75" bottom="0.75" header="0.3" footer="0.3"/>
  <legacyDrawing r:id="rId1"/>
  <controls>
    <control shapeId="12291" r:id="rId2" name="CommandButton3"/>
    <control shapeId="12290" r:id="rId3" name="CommandButton2"/>
    <control shapeId="12289" r:id="rId4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F107"/>
  <sheetViews>
    <sheetView workbookViewId="0">
      <selection activeCell="H24" sqref="H24"/>
    </sheetView>
  </sheetViews>
  <sheetFormatPr defaultRowHeight="13.5"/>
  <cols>
    <col min="1" max="1" width="7.375" bestFit="1" customWidth="1"/>
    <col min="2" max="2" width="5.25" bestFit="1" customWidth="1"/>
    <col min="3" max="6" width="6.25" bestFit="1" customWidth="1"/>
  </cols>
  <sheetData>
    <row r="1" spans="1:6">
      <c r="A1" t="s">
        <v>40</v>
      </c>
      <c r="B1" t="s">
        <v>41</v>
      </c>
      <c r="C1" t="s">
        <v>42</v>
      </c>
      <c r="D1" t="s">
        <v>43</v>
      </c>
      <c r="E1" t="s">
        <v>44</v>
      </c>
      <c r="F1" t="s">
        <v>45</v>
      </c>
    </row>
    <row r="2" spans="1:6">
      <c r="A2" t="s">
        <v>38</v>
      </c>
      <c r="B2" t="s">
        <v>17</v>
      </c>
      <c r="C2">
        <v>100</v>
      </c>
      <c r="D2">
        <v>102</v>
      </c>
      <c r="E2">
        <v>200</v>
      </c>
      <c r="F2">
        <v>144</v>
      </c>
    </row>
    <row r="3" spans="1:6">
      <c r="A3" t="s">
        <v>30</v>
      </c>
      <c r="B3" t="s">
        <v>17</v>
      </c>
      <c r="C3">
        <v>101</v>
      </c>
      <c r="D3">
        <v>126</v>
      </c>
      <c r="E3">
        <v>185</v>
      </c>
      <c r="F3">
        <v>223</v>
      </c>
    </row>
    <row r="4" spans="1:6">
      <c r="A4" t="s">
        <v>31</v>
      </c>
      <c r="B4" t="s">
        <v>16</v>
      </c>
      <c r="C4">
        <v>102</v>
      </c>
      <c r="D4">
        <v>173</v>
      </c>
      <c r="E4">
        <v>160</v>
      </c>
      <c r="F4">
        <v>107</v>
      </c>
    </row>
    <row r="5" spans="1:6">
      <c r="A5" t="s">
        <v>33</v>
      </c>
      <c r="B5" t="s">
        <v>16</v>
      </c>
      <c r="C5">
        <v>102</v>
      </c>
      <c r="D5">
        <v>184</v>
      </c>
      <c r="E5">
        <v>100</v>
      </c>
      <c r="F5">
        <v>167</v>
      </c>
    </row>
    <row r="6" spans="1:6">
      <c r="A6" t="s">
        <v>38</v>
      </c>
      <c r="B6" t="s">
        <v>16</v>
      </c>
      <c r="C6">
        <v>104</v>
      </c>
      <c r="D6">
        <v>118</v>
      </c>
      <c r="E6">
        <v>160</v>
      </c>
      <c r="F6">
        <v>174</v>
      </c>
    </row>
    <row r="7" spans="1:6">
      <c r="A7" t="s">
        <v>33</v>
      </c>
      <c r="B7" t="s">
        <v>17</v>
      </c>
      <c r="C7">
        <v>105</v>
      </c>
      <c r="D7">
        <v>194</v>
      </c>
      <c r="E7">
        <v>110</v>
      </c>
      <c r="F7">
        <v>110</v>
      </c>
    </row>
    <row r="8" spans="1:6">
      <c r="A8" t="s">
        <v>34</v>
      </c>
      <c r="B8" t="s">
        <v>16</v>
      </c>
      <c r="C8">
        <v>105</v>
      </c>
      <c r="D8">
        <v>164</v>
      </c>
      <c r="E8">
        <v>195</v>
      </c>
      <c r="F8">
        <v>160</v>
      </c>
    </row>
    <row r="9" spans="1:6">
      <c r="A9" t="s">
        <v>30</v>
      </c>
      <c r="B9" t="s">
        <v>16</v>
      </c>
      <c r="C9">
        <v>107</v>
      </c>
      <c r="D9">
        <v>132</v>
      </c>
      <c r="E9">
        <v>195</v>
      </c>
      <c r="F9">
        <v>200</v>
      </c>
    </row>
    <row r="10" spans="1:6">
      <c r="A10" t="s">
        <v>33</v>
      </c>
      <c r="B10" t="s">
        <v>17</v>
      </c>
      <c r="C10">
        <v>107</v>
      </c>
      <c r="D10">
        <v>114</v>
      </c>
      <c r="E10">
        <v>177</v>
      </c>
      <c r="F10">
        <v>191</v>
      </c>
    </row>
    <row r="11" spans="1:6">
      <c r="A11" t="s">
        <v>35</v>
      </c>
      <c r="B11" t="s">
        <v>15</v>
      </c>
      <c r="C11">
        <v>107</v>
      </c>
      <c r="D11">
        <v>115</v>
      </c>
      <c r="E11">
        <v>202</v>
      </c>
      <c r="F11">
        <v>191</v>
      </c>
    </row>
    <row r="12" spans="1:6">
      <c r="A12" t="s">
        <v>36</v>
      </c>
      <c r="B12" t="s">
        <v>17</v>
      </c>
      <c r="C12">
        <v>110</v>
      </c>
      <c r="D12">
        <v>157</v>
      </c>
      <c r="E12">
        <v>164</v>
      </c>
      <c r="F12">
        <v>112</v>
      </c>
    </row>
    <row r="13" spans="1:6">
      <c r="A13" t="s">
        <v>36</v>
      </c>
      <c r="B13" t="s">
        <v>16</v>
      </c>
      <c r="C13">
        <v>110</v>
      </c>
      <c r="D13">
        <v>215</v>
      </c>
      <c r="E13">
        <v>248</v>
      </c>
      <c r="F13">
        <v>237</v>
      </c>
    </row>
    <row r="14" spans="1:6">
      <c r="A14" t="s">
        <v>36</v>
      </c>
      <c r="B14" t="s">
        <v>16</v>
      </c>
      <c r="C14">
        <v>112</v>
      </c>
      <c r="D14">
        <v>154</v>
      </c>
      <c r="E14">
        <v>188</v>
      </c>
      <c r="F14">
        <v>118</v>
      </c>
    </row>
    <row r="15" spans="1:6">
      <c r="A15" t="s">
        <v>30</v>
      </c>
      <c r="B15" t="s">
        <v>15</v>
      </c>
      <c r="C15">
        <v>112</v>
      </c>
      <c r="D15">
        <v>124</v>
      </c>
      <c r="E15">
        <v>185</v>
      </c>
      <c r="F15">
        <v>194</v>
      </c>
    </row>
    <row r="16" spans="1:6">
      <c r="A16" t="s">
        <v>31</v>
      </c>
      <c r="B16" t="s">
        <v>15</v>
      </c>
      <c r="C16">
        <v>113</v>
      </c>
      <c r="D16">
        <v>107</v>
      </c>
      <c r="E16">
        <v>180</v>
      </c>
      <c r="F16">
        <v>107</v>
      </c>
    </row>
    <row r="17" spans="1:6">
      <c r="A17" t="s">
        <v>32</v>
      </c>
      <c r="B17" t="s">
        <v>14</v>
      </c>
      <c r="C17">
        <v>114</v>
      </c>
      <c r="D17">
        <v>128</v>
      </c>
      <c r="E17">
        <v>187</v>
      </c>
      <c r="F17">
        <v>174</v>
      </c>
    </row>
    <row r="18" spans="1:6">
      <c r="A18" t="s">
        <v>34</v>
      </c>
      <c r="B18" t="s">
        <v>16</v>
      </c>
      <c r="C18">
        <v>114</v>
      </c>
      <c r="D18">
        <v>138</v>
      </c>
      <c r="E18">
        <v>173</v>
      </c>
      <c r="F18">
        <v>132</v>
      </c>
    </row>
    <row r="19" spans="1:6">
      <c r="A19" t="s">
        <v>34</v>
      </c>
      <c r="B19" t="s">
        <v>15</v>
      </c>
      <c r="C19">
        <v>116</v>
      </c>
      <c r="D19">
        <v>117</v>
      </c>
      <c r="E19">
        <v>116</v>
      </c>
      <c r="F19">
        <v>131</v>
      </c>
    </row>
    <row r="20" spans="1:6">
      <c r="A20" t="s">
        <v>31</v>
      </c>
      <c r="B20" t="s">
        <v>17</v>
      </c>
      <c r="C20">
        <v>116</v>
      </c>
      <c r="D20">
        <v>168</v>
      </c>
      <c r="E20">
        <v>200</v>
      </c>
      <c r="F20">
        <v>108</v>
      </c>
    </row>
    <row r="21" spans="1:6">
      <c r="A21" t="s">
        <v>30</v>
      </c>
      <c r="B21" t="s">
        <v>15</v>
      </c>
      <c r="C21">
        <v>118</v>
      </c>
      <c r="D21">
        <v>186</v>
      </c>
      <c r="E21">
        <v>174</v>
      </c>
      <c r="F21">
        <v>136</v>
      </c>
    </row>
    <row r="22" spans="1:6">
      <c r="A22" t="s">
        <v>32</v>
      </c>
      <c r="B22" t="s">
        <v>15</v>
      </c>
      <c r="C22">
        <v>118</v>
      </c>
      <c r="D22">
        <v>146</v>
      </c>
      <c r="E22">
        <v>138</v>
      </c>
      <c r="F22">
        <v>113</v>
      </c>
    </row>
    <row r="23" spans="1:6">
      <c r="A23" t="s">
        <v>32</v>
      </c>
      <c r="B23" t="s">
        <v>15</v>
      </c>
      <c r="C23">
        <v>120</v>
      </c>
      <c r="D23">
        <v>126</v>
      </c>
      <c r="E23">
        <v>231</v>
      </c>
      <c r="F23">
        <v>162</v>
      </c>
    </row>
    <row r="24" spans="1:6">
      <c r="A24" t="s">
        <v>35</v>
      </c>
      <c r="B24" t="s">
        <v>17</v>
      </c>
      <c r="C24">
        <v>121</v>
      </c>
      <c r="D24">
        <v>143</v>
      </c>
      <c r="E24">
        <v>238</v>
      </c>
      <c r="F24">
        <v>192</v>
      </c>
    </row>
    <row r="25" spans="1:6">
      <c r="A25" t="s">
        <v>31</v>
      </c>
      <c r="B25" t="s">
        <v>14</v>
      </c>
      <c r="C25">
        <v>122</v>
      </c>
      <c r="D25">
        <v>201</v>
      </c>
      <c r="E25">
        <v>184</v>
      </c>
      <c r="F25">
        <v>129</v>
      </c>
    </row>
    <row r="26" spans="1:6">
      <c r="A26" t="s">
        <v>35</v>
      </c>
      <c r="B26" t="s">
        <v>14</v>
      </c>
      <c r="C26">
        <v>123</v>
      </c>
      <c r="D26">
        <v>122</v>
      </c>
      <c r="E26">
        <v>169</v>
      </c>
      <c r="F26">
        <v>142</v>
      </c>
    </row>
    <row r="27" spans="1:6">
      <c r="A27" t="s">
        <v>34</v>
      </c>
      <c r="B27" t="s">
        <v>16</v>
      </c>
      <c r="C27">
        <v>123</v>
      </c>
      <c r="D27">
        <v>233</v>
      </c>
      <c r="E27">
        <v>199</v>
      </c>
      <c r="F27">
        <v>199</v>
      </c>
    </row>
    <row r="28" spans="1:6">
      <c r="A28" t="s">
        <v>37</v>
      </c>
      <c r="B28" t="s">
        <v>17</v>
      </c>
      <c r="C28">
        <v>126</v>
      </c>
      <c r="D28">
        <v>139</v>
      </c>
      <c r="E28">
        <v>122</v>
      </c>
      <c r="F28">
        <v>111</v>
      </c>
    </row>
    <row r="29" spans="1:6">
      <c r="A29" t="s">
        <v>33</v>
      </c>
      <c r="B29" t="s">
        <v>16</v>
      </c>
      <c r="C29">
        <v>126</v>
      </c>
      <c r="D29">
        <v>244</v>
      </c>
      <c r="E29">
        <v>250</v>
      </c>
      <c r="F29">
        <v>221</v>
      </c>
    </row>
    <row r="30" spans="1:6">
      <c r="A30" t="s">
        <v>32</v>
      </c>
      <c r="B30" t="s">
        <v>16</v>
      </c>
      <c r="C30">
        <v>128</v>
      </c>
      <c r="D30">
        <v>206</v>
      </c>
      <c r="E30">
        <v>229</v>
      </c>
      <c r="F30">
        <v>216</v>
      </c>
    </row>
    <row r="31" spans="1:6">
      <c r="A31" t="s">
        <v>37</v>
      </c>
      <c r="B31" t="s">
        <v>17</v>
      </c>
      <c r="C31">
        <v>129</v>
      </c>
      <c r="D31">
        <v>242</v>
      </c>
      <c r="E31">
        <v>144</v>
      </c>
      <c r="F31">
        <v>220</v>
      </c>
    </row>
    <row r="32" spans="1:6">
      <c r="A32" t="s">
        <v>33</v>
      </c>
      <c r="B32" t="s">
        <v>15</v>
      </c>
      <c r="C32">
        <v>131</v>
      </c>
      <c r="D32">
        <v>136</v>
      </c>
      <c r="E32">
        <v>143</v>
      </c>
      <c r="F32">
        <v>144</v>
      </c>
    </row>
    <row r="33" spans="1:6">
      <c r="A33" t="s">
        <v>35</v>
      </c>
      <c r="B33" t="s">
        <v>15</v>
      </c>
      <c r="C33">
        <v>132</v>
      </c>
      <c r="D33">
        <v>231</v>
      </c>
      <c r="E33">
        <v>222</v>
      </c>
      <c r="F33">
        <v>191</v>
      </c>
    </row>
    <row r="34" spans="1:6">
      <c r="A34" t="s">
        <v>37</v>
      </c>
      <c r="B34" t="s">
        <v>15</v>
      </c>
      <c r="C34">
        <v>134</v>
      </c>
      <c r="D34">
        <v>152</v>
      </c>
      <c r="E34">
        <v>180</v>
      </c>
      <c r="F34">
        <v>135</v>
      </c>
    </row>
    <row r="35" spans="1:6">
      <c r="A35" t="s">
        <v>35</v>
      </c>
      <c r="B35" t="s">
        <v>14</v>
      </c>
      <c r="C35">
        <v>137</v>
      </c>
      <c r="D35">
        <v>220</v>
      </c>
      <c r="E35">
        <v>125</v>
      </c>
      <c r="F35">
        <v>161</v>
      </c>
    </row>
    <row r="36" spans="1:6">
      <c r="A36" t="s">
        <v>35</v>
      </c>
      <c r="B36" t="s">
        <v>16</v>
      </c>
      <c r="C36">
        <v>139</v>
      </c>
      <c r="D36">
        <v>130</v>
      </c>
      <c r="E36">
        <v>123</v>
      </c>
      <c r="F36">
        <v>121</v>
      </c>
    </row>
    <row r="37" spans="1:6">
      <c r="A37" t="s">
        <v>36</v>
      </c>
      <c r="B37" t="s">
        <v>17</v>
      </c>
      <c r="C37">
        <v>139</v>
      </c>
      <c r="D37">
        <v>162</v>
      </c>
      <c r="E37">
        <v>244</v>
      </c>
      <c r="F37">
        <v>140</v>
      </c>
    </row>
    <row r="38" spans="1:6">
      <c r="A38" t="s">
        <v>32</v>
      </c>
      <c r="B38" t="s">
        <v>16</v>
      </c>
      <c r="C38">
        <v>140</v>
      </c>
      <c r="D38">
        <v>184</v>
      </c>
      <c r="E38">
        <v>180</v>
      </c>
      <c r="F38">
        <v>160</v>
      </c>
    </row>
    <row r="39" spans="1:6">
      <c r="A39" t="s">
        <v>35</v>
      </c>
      <c r="B39" t="s">
        <v>17</v>
      </c>
      <c r="C39">
        <v>142</v>
      </c>
      <c r="D39">
        <v>106</v>
      </c>
      <c r="E39">
        <v>112</v>
      </c>
      <c r="F39">
        <v>123</v>
      </c>
    </row>
    <row r="40" spans="1:6">
      <c r="A40" t="s">
        <v>39</v>
      </c>
      <c r="B40" t="s">
        <v>15</v>
      </c>
      <c r="C40">
        <v>143</v>
      </c>
      <c r="D40">
        <v>145</v>
      </c>
      <c r="E40">
        <v>179</v>
      </c>
      <c r="F40">
        <v>143</v>
      </c>
    </row>
    <row r="41" spans="1:6">
      <c r="A41" t="s">
        <v>38</v>
      </c>
      <c r="B41" t="s">
        <v>14</v>
      </c>
      <c r="C41">
        <v>143</v>
      </c>
      <c r="D41">
        <v>140</v>
      </c>
      <c r="E41">
        <v>109</v>
      </c>
      <c r="F41">
        <v>184</v>
      </c>
    </row>
    <row r="42" spans="1:6">
      <c r="A42" t="s">
        <v>32</v>
      </c>
      <c r="B42" t="s">
        <v>14</v>
      </c>
      <c r="C42">
        <v>143</v>
      </c>
      <c r="D42">
        <v>177</v>
      </c>
      <c r="E42">
        <v>114</v>
      </c>
      <c r="F42">
        <v>123</v>
      </c>
    </row>
    <row r="43" spans="1:6">
      <c r="A43" t="s">
        <v>35</v>
      </c>
      <c r="B43" t="s">
        <v>16</v>
      </c>
      <c r="C43">
        <v>144</v>
      </c>
      <c r="D43">
        <v>175</v>
      </c>
      <c r="E43">
        <v>164</v>
      </c>
      <c r="F43">
        <v>198</v>
      </c>
    </row>
    <row r="44" spans="1:6">
      <c r="A44" t="s">
        <v>33</v>
      </c>
      <c r="B44" t="s">
        <v>15</v>
      </c>
      <c r="C44">
        <v>147</v>
      </c>
      <c r="D44">
        <v>155</v>
      </c>
      <c r="E44">
        <v>250</v>
      </c>
      <c r="F44">
        <v>167</v>
      </c>
    </row>
    <row r="45" spans="1:6">
      <c r="A45" t="s">
        <v>39</v>
      </c>
      <c r="B45" t="s">
        <v>14</v>
      </c>
      <c r="C45">
        <v>148</v>
      </c>
      <c r="D45">
        <v>128</v>
      </c>
      <c r="E45">
        <v>104</v>
      </c>
      <c r="F45">
        <v>150</v>
      </c>
    </row>
    <row r="46" spans="1:6">
      <c r="A46" t="s">
        <v>34</v>
      </c>
      <c r="B46" t="s">
        <v>15</v>
      </c>
      <c r="C46">
        <v>148</v>
      </c>
      <c r="D46">
        <v>225</v>
      </c>
      <c r="E46">
        <v>247</v>
      </c>
      <c r="F46">
        <v>229</v>
      </c>
    </row>
    <row r="47" spans="1:6">
      <c r="A47" t="s">
        <v>37</v>
      </c>
      <c r="B47" t="s">
        <v>16</v>
      </c>
      <c r="C47">
        <v>149</v>
      </c>
      <c r="D47">
        <v>106</v>
      </c>
      <c r="E47">
        <v>137</v>
      </c>
      <c r="F47">
        <v>111</v>
      </c>
    </row>
    <row r="48" spans="1:6">
      <c r="A48" t="s">
        <v>39</v>
      </c>
      <c r="B48" t="s">
        <v>16</v>
      </c>
      <c r="C48">
        <v>150</v>
      </c>
      <c r="D48">
        <v>164</v>
      </c>
      <c r="E48">
        <v>159</v>
      </c>
      <c r="F48">
        <v>132</v>
      </c>
    </row>
    <row r="49" spans="1:6">
      <c r="A49" t="s">
        <v>30</v>
      </c>
      <c r="B49" t="s">
        <v>14</v>
      </c>
      <c r="C49">
        <v>154</v>
      </c>
      <c r="D49">
        <v>143</v>
      </c>
      <c r="E49">
        <v>127</v>
      </c>
      <c r="F49">
        <v>124</v>
      </c>
    </row>
    <row r="50" spans="1:6">
      <c r="A50" t="s">
        <v>39</v>
      </c>
      <c r="B50" t="s">
        <v>17</v>
      </c>
      <c r="C50">
        <v>155</v>
      </c>
      <c r="D50">
        <v>112</v>
      </c>
      <c r="E50">
        <v>183</v>
      </c>
      <c r="F50">
        <v>130</v>
      </c>
    </row>
    <row r="51" spans="1:6">
      <c r="A51" t="s">
        <v>34</v>
      </c>
      <c r="B51" t="s">
        <v>17</v>
      </c>
      <c r="C51">
        <v>156</v>
      </c>
      <c r="D51">
        <v>184</v>
      </c>
      <c r="E51">
        <v>222</v>
      </c>
      <c r="F51">
        <v>189</v>
      </c>
    </row>
    <row r="52" spans="1:6">
      <c r="A52" t="s">
        <v>30</v>
      </c>
      <c r="B52" t="s">
        <v>17</v>
      </c>
      <c r="C52">
        <v>157</v>
      </c>
      <c r="D52">
        <v>123</v>
      </c>
      <c r="E52">
        <v>159</v>
      </c>
      <c r="F52">
        <v>165</v>
      </c>
    </row>
    <row r="53" spans="1:6">
      <c r="A53" t="s">
        <v>33</v>
      </c>
      <c r="B53" t="s">
        <v>14</v>
      </c>
      <c r="C53">
        <v>159</v>
      </c>
      <c r="D53">
        <v>185</v>
      </c>
      <c r="E53">
        <v>154</v>
      </c>
      <c r="F53">
        <v>161</v>
      </c>
    </row>
    <row r="54" spans="1:6">
      <c r="A54" t="s">
        <v>34</v>
      </c>
      <c r="B54" t="s">
        <v>17</v>
      </c>
      <c r="C54">
        <v>159</v>
      </c>
      <c r="D54">
        <v>186</v>
      </c>
      <c r="E54">
        <v>121</v>
      </c>
      <c r="F54">
        <v>118</v>
      </c>
    </row>
    <row r="55" spans="1:6">
      <c r="A55" t="s">
        <v>37</v>
      </c>
      <c r="B55" t="s">
        <v>14</v>
      </c>
      <c r="C55">
        <v>159</v>
      </c>
      <c r="D55">
        <v>190</v>
      </c>
      <c r="E55">
        <v>112</v>
      </c>
      <c r="F55">
        <v>141</v>
      </c>
    </row>
    <row r="56" spans="1:6">
      <c r="A56" t="s">
        <v>38</v>
      </c>
      <c r="B56" t="s">
        <v>17</v>
      </c>
      <c r="C56">
        <v>159</v>
      </c>
      <c r="D56">
        <v>141</v>
      </c>
      <c r="E56">
        <v>112</v>
      </c>
      <c r="F56">
        <v>156</v>
      </c>
    </row>
    <row r="57" spans="1:6">
      <c r="A57" t="s">
        <v>38</v>
      </c>
      <c r="B57" t="s">
        <v>14</v>
      </c>
      <c r="C57">
        <v>164</v>
      </c>
      <c r="D57">
        <v>129</v>
      </c>
      <c r="E57">
        <v>163</v>
      </c>
      <c r="F57">
        <v>142</v>
      </c>
    </row>
    <row r="58" spans="1:6">
      <c r="A58" t="s">
        <v>32</v>
      </c>
      <c r="B58" t="s">
        <v>15</v>
      </c>
      <c r="C58">
        <v>171</v>
      </c>
      <c r="D58">
        <v>173</v>
      </c>
      <c r="E58">
        <v>104</v>
      </c>
      <c r="F58">
        <v>152</v>
      </c>
    </row>
    <row r="59" spans="1:6">
      <c r="A59" t="s">
        <v>31</v>
      </c>
      <c r="B59" t="s">
        <v>14</v>
      </c>
      <c r="C59">
        <v>172</v>
      </c>
      <c r="D59">
        <v>103</v>
      </c>
      <c r="E59">
        <v>172</v>
      </c>
      <c r="F59">
        <v>118</v>
      </c>
    </row>
    <row r="60" spans="1:6">
      <c r="A60" t="s">
        <v>36</v>
      </c>
      <c r="B60" t="s">
        <v>15</v>
      </c>
      <c r="C60">
        <v>172</v>
      </c>
      <c r="D60">
        <v>241</v>
      </c>
      <c r="E60">
        <v>147</v>
      </c>
      <c r="F60">
        <v>213</v>
      </c>
    </row>
    <row r="61" spans="1:6">
      <c r="A61" t="s">
        <v>31</v>
      </c>
      <c r="B61" t="s">
        <v>17</v>
      </c>
      <c r="C61">
        <v>173</v>
      </c>
      <c r="D61">
        <v>111</v>
      </c>
      <c r="E61">
        <v>113</v>
      </c>
      <c r="F61">
        <v>135</v>
      </c>
    </row>
    <row r="62" spans="1:6">
      <c r="A62" t="s">
        <v>33</v>
      </c>
      <c r="B62" t="s">
        <v>14</v>
      </c>
      <c r="C62">
        <v>173</v>
      </c>
      <c r="D62">
        <v>143</v>
      </c>
      <c r="E62">
        <v>164</v>
      </c>
      <c r="F62">
        <v>114</v>
      </c>
    </row>
    <row r="63" spans="1:6">
      <c r="A63" t="s">
        <v>33</v>
      </c>
      <c r="B63" t="s">
        <v>14</v>
      </c>
      <c r="C63">
        <v>174</v>
      </c>
      <c r="D63">
        <v>209</v>
      </c>
      <c r="E63">
        <v>129</v>
      </c>
      <c r="F63">
        <v>170</v>
      </c>
    </row>
    <row r="64" spans="1:6">
      <c r="A64" t="s">
        <v>35</v>
      </c>
      <c r="B64" t="s">
        <v>17</v>
      </c>
      <c r="C64">
        <v>174</v>
      </c>
      <c r="D64">
        <v>167</v>
      </c>
      <c r="E64">
        <v>115</v>
      </c>
      <c r="F64">
        <v>200</v>
      </c>
    </row>
    <row r="65" spans="1:6">
      <c r="A65" t="s">
        <v>36</v>
      </c>
      <c r="B65" t="s">
        <v>14</v>
      </c>
      <c r="C65">
        <v>175</v>
      </c>
      <c r="D65">
        <v>125</v>
      </c>
      <c r="E65">
        <v>109</v>
      </c>
      <c r="F65">
        <v>156</v>
      </c>
    </row>
    <row r="66" spans="1:6">
      <c r="A66" t="s">
        <v>34</v>
      </c>
      <c r="B66" t="s">
        <v>17</v>
      </c>
      <c r="C66">
        <v>175</v>
      </c>
      <c r="D66">
        <v>184</v>
      </c>
      <c r="E66">
        <v>107</v>
      </c>
      <c r="F66">
        <v>137</v>
      </c>
    </row>
    <row r="67" spans="1:6">
      <c r="A67" t="s">
        <v>32</v>
      </c>
      <c r="B67" t="s">
        <v>17</v>
      </c>
      <c r="C67">
        <v>178</v>
      </c>
      <c r="D67">
        <v>192</v>
      </c>
      <c r="E67">
        <v>127</v>
      </c>
      <c r="F67">
        <v>143</v>
      </c>
    </row>
    <row r="68" spans="1:6">
      <c r="A68" t="s">
        <v>36</v>
      </c>
      <c r="B68" t="s">
        <v>15</v>
      </c>
      <c r="C68">
        <v>178</v>
      </c>
      <c r="D68">
        <v>196</v>
      </c>
      <c r="E68">
        <v>150</v>
      </c>
      <c r="F68">
        <v>221</v>
      </c>
    </row>
    <row r="69" spans="1:6">
      <c r="A69" t="s">
        <v>35</v>
      </c>
      <c r="B69" t="s">
        <v>16</v>
      </c>
      <c r="C69">
        <v>180</v>
      </c>
      <c r="D69">
        <v>150</v>
      </c>
      <c r="E69">
        <v>248</v>
      </c>
      <c r="F69">
        <v>131</v>
      </c>
    </row>
    <row r="70" spans="1:6">
      <c r="A70" t="s">
        <v>30</v>
      </c>
      <c r="B70" t="s">
        <v>14</v>
      </c>
      <c r="C70">
        <v>185</v>
      </c>
      <c r="D70">
        <v>139</v>
      </c>
      <c r="E70">
        <v>111</v>
      </c>
      <c r="F70">
        <v>145</v>
      </c>
    </row>
    <row r="71" spans="1:6">
      <c r="A71" t="s">
        <v>32</v>
      </c>
      <c r="B71" t="s">
        <v>16</v>
      </c>
      <c r="C71">
        <v>188</v>
      </c>
      <c r="D71">
        <v>230</v>
      </c>
      <c r="E71">
        <v>248</v>
      </c>
      <c r="F71">
        <v>232</v>
      </c>
    </row>
    <row r="72" spans="1:6">
      <c r="A72" t="s">
        <v>38</v>
      </c>
      <c r="B72" t="s">
        <v>15</v>
      </c>
      <c r="C72">
        <v>189</v>
      </c>
      <c r="D72">
        <v>178</v>
      </c>
      <c r="E72">
        <v>131</v>
      </c>
      <c r="F72">
        <v>105</v>
      </c>
    </row>
    <row r="73" spans="1:6">
      <c r="A73" t="s">
        <v>38</v>
      </c>
      <c r="B73" t="s">
        <v>16</v>
      </c>
      <c r="C73">
        <v>189</v>
      </c>
      <c r="D73">
        <v>229</v>
      </c>
      <c r="E73">
        <v>156</v>
      </c>
      <c r="F73">
        <v>235</v>
      </c>
    </row>
    <row r="74" spans="1:6">
      <c r="A74" t="s">
        <v>34</v>
      </c>
      <c r="B74" t="s">
        <v>14</v>
      </c>
      <c r="C74">
        <v>190</v>
      </c>
      <c r="D74">
        <v>149</v>
      </c>
      <c r="E74">
        <v>157</v>
      </c>
      <c r="F74">
        <v>108</v>
      </c>
    </row>
    <row r="75" spans="1:6">
      <c r="A75" t="s">
        <v>36</v>
      </c>
      <c r="B75" t="s">
        <v>15</v>
      </c>
      <c r="C75">
        <v>190</v>
      </c>
      <c r="D75">
        <v>126</v>
      </c>
      <c r="E75">
        <v>185</v>
      </c>
      <c r="F75">
        <v>120</v>
      </c>
    </row>
    <row r="76" spans="1:6">
      <c r="A76" t="s">
        <v>30</v>
      </c>
      <c r="B76" t="s">
        <v>16</v>
      </c>
      <c r="C76">
        <v>191</v>
      </c>
      <c r="D76">
        <v>122</v>
      </c>
      <c r="E76">
        <v>225</v>
      </c>
      <c r="F76">
        <v>225</v>
      </c>
    </row>
    <row r="77" spans="1:6">
      <c r="A77" t="s">
        <v>30</v>
      </c>
      <c r="B77" t="s">
        <v>15</v>
      </c>
      <c r="C77">
        <v>194</v>
      </c>
      <c r="D77">
        <v>165</v>
      </c>
      <c r="E77">
        <v>166</v>
      </c>
      <c r="F77">
        <v>188</v>
      </c>
    </row>
    <row r="78" spans="1:6">
      <c r="A78" t="s">
        <v>35</v>
      </c>
      <c r="B78" t="s">
        <v>15</v>
      </c>
      <c r="C78">
        <v>197</v>
      </c>
      <c r="D78">
        <v>114</v>
      </c>
      <c r="E78">
        <v>151</v>
      </c>
      <c r="F78">
        <v>122</v>
      </c>
    </row>
    <row r="79" spans="1:6">
      <c r="A79" t="s">
        <v>34</v>
      </c>
      <c r="B79" t="s">
        <v>14</v>
      </c>
      <c r="C79">
        <v>198</v>
      </c>
      <c r="D79">
        <v>166</v>
      </c>
      <c r="E79">
        <v>247</v>
      </c>
      <c r="F79">
        <v>140</v>
      </c>
    </row>
    <row r="80" spans="1:6">
      <c r="A80" t="s">
        <v>33</v>
      </c>
      <c r="B80" t="s">
        <v>15</v>
      </c>
      <c r="C80">
        <v>199</v>
      </c>
      <c r="D80">
        <v>224</v>
      </c>
      <c r="E80">
        <v>153</v>
      </c>
      <c r="F80">
        <v>121</v>
      </c>
    </row>
    <row r="81" spans="1:6">
      <c r="A81" t="s">
        <v>36</v>
      </c>
      <c r="B81" t="s">
        <v>17</v>
      </c>
      <c r="C81">
        <v>200</v>
      </c>
      <c r="D81">
        <v>140</v>
      </c>
      <c r="E81">
        <v>159</v>
      </c>
      <c r="F81">
        <v>178</v>
      </c>
    </row>
    <row r="82" spans="1:6">
      <c r="A82" t="s">
        <v>39</v>
      </c>
      <c r="B82" t="s">
        <v>15</v>
      </c>
      <c r="C82">
        <v>202</v>
      </c>
      <c r="D82">
        <v>170</v>
      </c>
      <c r="E82">
        <v>107</v>
      </c>
      <c r="F82">
        <v>148</v>
      </c>
    </row>
    <row r="83" spans="1:6">
      <c r="A83" t="s">
        <v>31</v>
      </c>
      <c r="B83" t="s">
        <v>16</v>
      </c>
      <c r="C83">
        <v>203</v>
      </c>
      <c r="D83">
        <v>205</v>
      </c>
      <c r="E83">
        <v>219</v>
      </c>
      <c r="F83">
        <v>170</v>
      </c>
    </row>
    <row r="84" spans="1:6">
      <c r="A84" t="s">
        <v>32</v>
      </c>
      <c r="B84" t="s">
        <v>17</v>
      </c>
      <c r="C84">
        <v>204</v>
      </c>
      <c r="D84">
        <v>179</v>
      </c>
      <c r="E84">
        <v>125</v>
      </c>
      <c r="F84">
        <v>142</v>
      </c>
    </row>
    <row r="85" spans="1:6">
      <c r="A85" t="s">
        <v>32</v>
      </c>
      <c r="B85" t="s">
        <v>14</v>
      </c>
      <c r="C85">
        <v>206</v>
      </c>
      <c r="D85">
        <v>131</v>
      </c>
      <c r="E85">
        <v>212</v>
      </c>
      <c r="F85">
        <v>197</v>
      </c>
    </row>
    <row r="86" spans="1:6">
      <c r="A86" t="s">
        <v>38</v>
      </c>
      <c r="B86" t="s">
        <v>15</v>
      </c>
      <c r="C86">
        <v>206</v>
      </c>
      <c r="D86">
        <v>230</v>
      </c>
      <c r="E86">
        <v>121</v>
      </c>
      <c r="F86">
        <v>139</v>
      </c>
    </row>
    <row r="87" spans="1:6">
      <c r="A87" t="s">
        <v>39</v>
      </c>
      <c r="B87" t="s">
        <v>17</v>
      </c>
      <c r="C87">
        <v>206</v>
      </c>
      <c r="D87">
        <v>102</v>
      </c>
      <c r="E87">
        <v>148</v>
      </c>
      <c r="F87">
        <v>226</v>
      </c>
    </row>
    <row r="88" spans="1:6">
      <c r="A88" t="s">
        <v>31</v>
      </c>
      <c r="B88" t="s">
        <v>17</v>
      </c>
      <c r="C88">
        <v>209</v>
      </c>
      <c r="D88">
        <v>119</v>
      </c>
      <c r="E88">
        <v>152</v>
      </c>
      <c r="F88">
        <v>222</v>
      </c>
    </row>
    <row r="89" spans="1:6">
      <c r="A89" t="s">
        <v>30</v>
      </c>
      <c r="B89" t="s">
        <v>17</v>
      </c>
      <c r="C89">
        <v>211</v>
      </c>
      <c r="D89">
        <v>241</v>
      </c>
      <c r="E89">
        <v>228</v>
      </c>
      <c r="F89">
        <v>199</v>
      </c>
    </row>
    <row r="90" spans="1:6">
      <c r="A90" t="s">
        <v>30</v>
      </c>
      <c r="B90" t="s">
        <v>14</v>
      </c>
      <c r="C90">
        <v>211</v>
      </c>
      <c r="D90">
        <v>154</v>
      </c>
      <c r="E90">
        <v>245</v>
      </c>
      <c r="F90">
        <v>145</v>
      </c>
    </row>
    <row r="91" spans="1:6">
      <c r="A91" t="s">
        <v>33</v>
      </c>
      <c r="B91" t="s">
        <v>16</v>
      </c>
      <c r="C91">
        <v>213</v>
      </c>
      <c r="D91">
        <v>222</v>
      </c>
      <c r="E91">
        <v>156</v>
      </c>
      <c r="F91">
        <v>218</v>
      </c>
    </row>
    <row r="92" spans="1:6">
      <c r="A92" t="s">
        <v>34</v>
      </c>
      <c r="B92" t="s">
        <v>14</v>
      </c>
      <c r="C92">
        <v>214</v>
      </c>
      <c r="D92">
        <v>143</v>
      </c>
      <c r="E92">
        <v>224</v>
      </c>
      <c r="F92">
        <v>119</v>
      </c>
    </row>
    <row r="93" spans="1:6">
      <c r="A93" t="s">
        <v>31</v>
      </c>
      <c r="B93" t="s">
        <v>15</v>
      </c>
      <c r="C93">
        <v>216</v>
      </c>
      <c r="D93">
        <v>230</v>
      </c>
      <c r="E93">
        <v>125</v>
      </c>
      <c r="F93">
        <v>247</v>
      </c>
    </row>
    <row r="94" spans="1:6">
      <c r="A94" t="s">
        <v>31</v>
      </c>
      <c r="B94" t="s">
        <v>16</v>
      </c>
      <c r="C94">
        <v>219</v>
      </c>
      <c r="D94">
        <v>108</v>
      </c>
      <c r="E94">
        <v>136</v>
      </c>
      <c r="F94">
        <v>158</v>
      </c>
    </row>
    <row r="95" spans="1:6">
      <c r="A95" t="s">
        <v>37</v>
      </c>
      <c r="B95" t="s">
        <v>16</v>
      </c>
      <c r="C95">
        <v>221</v>
      </c>
      <c r="D95">
        <v>232</v>
      </c>
      <c r="E95">
        <v>148</v>
      </c>
      <c r="F95">
        <v>174</v>
      </c>
    </row>
    <row r="96" spans="1:6">
      <c r="A96" t="s">
        <v>37</v>
      </c>
      <c r="B96" t="s">
        <v>15</v>
      </c>
      <c r="C96">
        <v>231</v>
      </c>
      <c r="D96">
        <v>104</v>
      </c>
      <c r="E96">
        <v>222</v>
      </c>
      <c r="F96">
        <v>206</v>
      </c>
    </row>
    <row r="97" spans="1:6">
      <c r="A97" t="s">
        <v>39</v>
      </c>
      <c r="B97" t="s">
        <v>16</v>
      </c>
      <c r="C97">
        <v>233</v>
      </c>
      <c r="D97">
        <v>237</v>
      </c>
      <c r="E97">
        <v>233</v>
      </c>
      <c r="F97">
        <v>127</v>
      </c>
    </row>
    <row r="98" spans="1:6">
      <c r="A98" t="s">
        <v>36</v>
      </c>
      <c r="B98" t="s">
        <v>14</v>
      </c>
      <c r="C98">
        <v>234</v>
      </c>
      <c r="D98">
        <v>145</v>
      </c>
      <c r="E98">
        <v>239</v>
      </c>
      <c r="F98">
        <v>176</v>
      </c>
    </row>
    <row r="99" spans="1:6">
      <c r="A99" t="s">
        <v>31</v>
      </c>
      <c r="B99" t="s">
        <v>15</v>
      </c>
      <c r="C99">
        <v>238</v>
      </c>
      <c r="D99">
        <v>196</v>
      </c>
      <c r="E99">
        <v>212</v>
      </c>
      <c r="F99">
        <v>100</v>
      </c>
    </row>
    <row r="100" spans="1:6">
      <c r="A100" t="s">
        <v>37</v>
      </c>
      <c r="B100" t="s">
        <v>14</v>
      </c>
      <c r="C100">
        <v>239</v>
      </c>
      <c r="D100">
        <v>153</v>
      </c>
      <c r="E100">
        <v>125</v>
      </c>
      <c r="F100">
        <v>210</v>
      </c>
    </row>
    <row r="101" spans="1:6">
      <c r="A101" t="s">
        <v>30</v>
      </c>
      <c r="B101" t="s">
        <v>16</v>
      </c>
      <c r="C101">
        <v>241</v>
      </c>
      <c r="D101">
        <v>171</v>
      </c>
      <c r="E101">
        <v>169</v>
      </c>
      <c r="F101">
        <v>104</v>
      </c>
    </row>
    <row r="102" spans="1:6">
      <c r="A102" t="s">
        <v>31</v>
      </c>
      <c r="B102" t="s">
        <v>14</v>
      </c>
      <c r="C102">
        <v>245</v>
      </c>
      <c r="D102">
        <v>204</v>
      </c>
      <c r="E102">
        <v>144</v>
      </c>
      <c r="F102">
        <v>130</v>
      </c>
    </row>
    <row r="103" spans="1:6">
      <c r="A103" t="s">
        <v>32</v>
      </c>
      <c r="B103" t="s">
        <v>17</v>
      </c>
      <c r="C103">
        <v>246</v>
      </c>
      <c r="D103">
        <v>111</v>
      </c>
      <c r="E103">
        <v>170</v>
      </c>
      <c r="F103">
        <v>233</v>
      </c>
    </row>
    <row r="104" spans="1:6">
      <c r="A104" t="s">
        <v>34</v>
      </c>
      <c r="B104" t="s">
        <v>15</v>
      </c>
      <c r="C104">
        <v>246</v>
      </c>
      <c r="D104">
        <v>151</v>
      </c>
      <c r="E104">
        <v>213</v>
      </c>
      <c r="F104">
        <v>203</v>
      </c>
    </row>
    <row r="105" spans="1:6">
      <c r="A105" t="s">
        <v>33</v>
      </c>
      <c r="B105" t="s">
        <v>17</v>
      </c>
      <c r="C105">
        <v>246</v>
      </c>
      <c r="D105">
        <v>183</v>
      </c>
      <c r="E105">
        <v>127</v>
      </c>
      <c r="F105">
        <v>153</v>
      </c>
    </row>
    <row r="106" spans="1:6">
      <c r="A106" t="s">
        <v>35</v>
      </c>
      <c r="B106" t="s">
        <v>14</v>
      </c>
      <c r="C106">
        <v>249</v>
      </c>
      <c r="D106">
        <v>249</v>
      </c>
      <c r="E106">
        <v>155</v>
      </c>
      <c r="F106">
        <v>243</v>
      </c>
    </row>
    <row r="107" spans="1:6">
      <c r="A107" t="s">
        <v>39</v>
      </c>
      <c r="B107" t="s">
        <v>14</v>
      </c>
      <c r="C107">
        <v>250</v>
      </c>
      <c r="D107">
        <v>173</v>
      </c>
      <c r="E107">
        <v>196</v>
      </c>
      <c r="F107">
        <v>126</v>
      </c>
    </row>
  </sheetData>
  <sortState ref="A2:F122">
    <sortCondition ref="C2:C122"/>
  </sortState>
  <phoneticPr fontId="1" type="noConversion"/>
  <pageMargins left="0.7" right="0.7" top="0.75" bottom="0.75" header="0.3" footer="0.3"/>
  <legacyDrawing r:id="rId1"/>
  <controls>
    <control shapeId="10241" r:id="rId2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EA279"/>
  <sheetViews>
    <sheetView workbookViewId="0">
      <selection activeCell="L21" sqref="L21"/>
    </sheetView>
  </sheetViews>
  <sheetFormatPr defaultRowHeight="13.5"/>
  <cols>
    <col min="1" max="1" width="11.625" style="2" bestFit="1" customWidth="1"/>
    <col min="2" max="3" width="5.25" bestFit="1" customWidth="1"/>
    <col min="5" max="14" width="5.25" bestFit="1" customWidth="1"/>
    <col min="15" max="19" width="7.25" bestFit="1" customWidth="1"/>
    <col min="20" max="50" width="5.25" bestFit="1" customWidth="1"/>
    <col min="51" max="56" width="6.25" bestFit="1" customWidth="1"/>
    <col min="57" max="57" width="5.25" bestFit="1" customWidth="1"/>
    <col min="58" max="59" width="6.25" bestFit="1" customWidth="1"/>
    <col min="60" max="62" width="5.25" bestFit="1" customWidth="1"/>
    <col min="64" max="68" width="6.25" bestFit="1" customWidth="1"/>
    <col min="69" max="69" width="8.125" bestFit="1" customWidth="1"/>
    <col min="70" max="74" width="6.25" bestFit="1" customWidth="1"/>
    <col min="75" max="75" width="8.125" bestFit="1" customWidth="1"/>
    <col min="76" max="91" width="7.25" bestFit="1" customWidth="1"/>
    <col min="92" max="92" width="5.375" bestFit="1" customWidth="1"/>
    <col min="93" max="96" width="9.125" bestFit="1" customWidth="1"/>
    <col min="97" max="108" width="7.25" bestFit="1" customWidth="1"/>
    <col min="109" max="114" width="10.125" bestFit="1" customWidth="1"/>
    <col min="115" max="120" width="9.125" bestFit="1" customWidth="1"/>
    <col min="121" max="122" width="7.25" bestFit="1" customWidth="1"/>
    <col min="123" max="124" width="5.25" bestFit="1" customWidth="1"/>
    <col min="125" max="125" width="6.25" bestFit="1" customWidth="1"/>
    <col min="126" max="126" width="7.25" bestFit="1" customWidth="1"/>
    <col min="127" max="127" width="5.5" bestFit="1" customWidth="1"/>
    <col min="128" max="128" width="10.125" bestFit="1" customWidth="1"/>
    <col min="129" max="129" width="9.125" bestFit="1" customWidth="1"/>
    <col min="130" max="130" width="10" bestFit="1" customWidth="1"/>
    <col min="131" max="131" width="7.25" bestFit="1" customWidth="1"/>
  </cols>
  <sheetData>
    <row r="1" spans="1:131">
      <c r="A1" s="2" t="s">
        <v>58</v>
      </c>
      <c r="B1" t="s">
        <v>59</v>
      </c>
      <c r="C1" t="s">
        <v>60</v>
      </c>
      <c r="D1" t="s">
        <v>61</v>
      </c>
      <c r="E1" t="s">
        <v>64</v>
      </c>
      <c r="F1" t="s">
        <v>62</v>
      </c>
      <c r="G1" t="s">
        <v>63</v>
      </c>
      <c r="H1" t="s">
        <v>60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60</v>
      </c>
      <c r="O1" t="s">
        <v>70</v>
      </c>
      <c r="P1" t="s">
        <v>71</v>
      </c>
      <c r="Q1" t="s">
        <v>72</v>
      </c>
      <c r="R1" t="s">
        <v>73</v>
      </c>
      <c r="S1" t="s">
        <v>74</v>
      </c>
      <c r="T1" t="s">
        <v>75</v>
      </c>
      <c r="U1" t="s">
        <v>69</v>
      </c>
      <c r="V1" t="s">
        <v>69</v>
      </c>
      <c r="W1" t="s">
        <v>75</v>
      </c>
      <c r="X1" t="s">
        <v>69</v>
      </c>
      <c r="Y1" t="s">
        <v>69</v>
      </c>
      <c r="Z1" t="s">
        <v>69</v>
      </c>
      <c r="AA1" t="s">
        <v>69</v>
      </c>
      <c r="AB1" t="s">
        <v>69</v>
      </c>
      <c r="AC1" t="s">
        <v>69</v>
      </c>
      <c r="AD1" t="s">
        <v>69</v>
      </c>
      <c r="AE1" t="s">
        <v>69</v>
      </c>
      <c r="AF1" t="s">
        <v>69</v>
      </c>
      <c r="AG1" t="s">
        <v>69</v>
      </c>
      <c r="AH1" t="s">
        <v>69</v>
      </c>
      <c r="AI1" t="s">
        <v>69</v>
      </c>
      <c r="AJ1" t="s">
        <v>69</v>
      </c>
      <c r="AK1" t="s">
        <v>76</v>
      </c>
      <c r="AL1" t="s">
        <v>77</v>
      </c>
      <c r="AM1" t="s">
        <v>78</v>
      </c>
      <c r="AN1" t="s">
        <v>78</v>
      </c>
      <c r="AO1" t="s">
        <v>69</v>
      </c>
      <c r="AP1" t="s">
        <v>77</v>
      </c>
      <c r="AQ1" t="s">
        <v>69</v>
      </c>
      <c r="AR1" t="s">
        <v>69</v>
      </c>
      <c r="AS1" t="s">
        <v>79</v>
      </c>
      <c r="AT1" t="s">
        <v>80</v>
      </c>
      <c r="AU1" t="s">
        <v>81</v>
      </c>
      <c r="AV1" t="s">
        <v>82</v>
      </c>
      <c r="AW1" t="s">
        <v>82</v>
      </c>
      <c r="AX1" t="s">
        <v>69</v>
      </c>
      <c r="AY1" t="s">
        <v>83</v>
      </c>
      <c r="AZ1" t="s">
        <v>84</v>
      </c>
      <c r="BA1" t="s">
        <v>83</v>
      </c>
      <c r="BB1" t="s">
        <v>84</v>
      </c>
      <c r="BC1" t="s">
        <v>83</v>
      </c>
      <c r="BD1" t="s">
        <v>84</v>
      </c>
      <c r="BE1" t="s">
        <v>82</v>
      </c>
      <c r="BF1" t="s">
        <v>85</v>
      </c>
      <c r="BG1" t="s">
        <v>86</v>
      </c>
      <c r="BH1" t="s">
        <v>87</v>
      </c>
      <c r="BI1" t="s">
        <v>69</v>
      </c>
      <c r="BJ1" t="s">
        <v>69</v>
      </c>
      <c r="BK1" t="s">
        <v>88</v>
      </c>
      <c r="BL1" t="s">
        <v>89</v>
      </c>
      <c r="BM1" t="s">
        <v>90</v>
      </c>
      <c r="BN1" t="s">
        <v>91</v>
      </c>
      <c r="BO1" t="s">
        <v>92</v>
      </c>
      <c r="BP1" t="s">
        <v>93</v>
      </c>
      <c r="BQ1" t="s">
        <v>94</v>
      </c>
      <c r="BR1" t="s">
        <v>95</v>
      </c>
      <c r="BS1" t="s">
        <v>96</v>
      </c>
      <c r="BT1" t="s">
        <v>97</v>
      </c>
      <c r="BU1" t="s">
        <v>98</v>
      </c>
      <c r="BV1" t="s">
        <v>99</v>
      </c>
      <c r="BW1" t="s">
        <v>100</v>
      </c>
      <c r="BX1" t="s">
        <v>101</v>
      </c>
      <c r="BY1" t="s">
        <v>101</v>
      </c>
      <c r="BZ1" t="s">
        <v>101</v>
      </c>
      <c r="CA1" t="s">
        <v>101</v>
      </c>
      <c r="CB1" t="s">
        <v>102</v>
      </c>
      <c r="CC1" t="s">
        <v>102</v>
      </c>
      <c r="CD1" t="s">
        <v>102</v>
      </c>
      <c r="CE1" t="s">
        <v>103</v>
      </c>
      <c r="CF1" t="s">
        <v>104</v>
      </c>
      <c r="CG1" t="s">
        <v>101</v>
      </c>
      <c r="CH1" t="s">
        <v>101</v>
      </c>
      <c r="CI1" t="s">
        <v>101</v>
      </c>
      <c r="CJ1" t="s">
        <v>101</v>
      </c>
      <c r="CK1" t="s">
        <v>101</v>
      </c>
      <c r="CL1" t="s">
        <v>101</v>
      </c>
      <c r="CM1" t="s">
        <v>101</v>
      </c>
      <c r="CN1" t="s">
        <v>105</v>
      </c>
      <c r="CO1" t="s">
        <v>106</v>
      </c>
      <c r="CP1" t="s">
        <v>106</v>
      </c>
      <c r="CQ1" t="s">
        <v>106</v>
      </c>
      <c r="CR1" t="s">
        <v>106</v>
      </c>
      <c r="CS1" t="s">
        <v>107</v>
      </c>
      <c r="CT1" t="s">
        <v>107</v>
      </c>
      <c r="CU1" t="s">
        <v>74</v>
      </c>
      <c r="CV1" t="s">
        <v>74</v>
      </c>
      <c r="CW1" t="s">
        <v>74</v>
      </c>
      <c r="CX1" t="s">
        <v>74</v>
      </c>
      <c r="CY1" t="s">
        <v>108</v>
      </c>
      <c r="CZ1" t="s">
        <v>108</v>
      </c>
      <c r="DA1" t="s">
        <v>108</v>
      </c>
      <c r="DB1" t="s">
        <v>109</v>
      </c>
      <c r="DC1" t="s">
        <v>110</v>
      </c>
      <c r="DD1" t="s">
        <v>74</v>
      </c>
      <c r="DE1" t="s">
        <v>111</v>
      </c>
      <c r="DF1" t="s">
        <v>112</v>
      </c>
      <c r="DG1" t="s">
        <v>111</v>
      </c>
      <c r="DH1" t="s">
        <v>112</v>
      </c>
      <c r="DI1" t="s">
        <v>111</v>
      </c>
      <c r="DJ1" t="s">
        <v>112</v>
      </c>
      <c r="DK1" t="s">
        <v>113</v>
      </c>
      <c r="DL1" t="s">
        <v>113</v>
      </c>
      <c r="DM1" t="s">
        <v>113</v>
      </c>
      <c r="DN1" t="s">
        <v>114</v>
      </c>
      <c r="DO1" t="s">
        <v>114</v>
      </c>
      <c r="DP1" t="s">
        <v>114</v>
      </c>
      <c r="DQ1" t="s">
        <v>115</v>
      </c>
      <c r="DR1" t="s">
        <v>115</v>
      </c>
      <c r="DS1" t="s">
        <v>116</v>
      </c>
      <c r="DT1" t="s">
        <v>117</v>
      </c>
      <c r="DU1" t="s">
        <v>118</v>
      </c>
      <c r="DV1" t="s">
        <v>119</v>
      </c>
      <c r="DW1" t="s">
        <v>120</v>
      </c>
      <c r="DX1" t="s">
        <v>121</v>
      </c>
      <c r="DY1" t="s">
        <v>122</v>
      </c>
      <c r="DZ1" t="s">
        <v>123</v>
      </c>
      <c r="EA1" t="s">
        <v>124</v>
      </c>
    </row>
    <row r="2" spans="1:131">
      <c r="A2" s="2">
        <v>43252</v>
      </c>
      <c r="B2" t="s">
        <v>125</v>
      </c>
      <c r="C2">
        <v>961</v>
      </c>
      <c r="D2" t="s">
        <v>126</v>
      </c>
      <c r="E2">
        <v>1</v>
      </c>
      <c r="BK2">
        <v>450</v>
      </c>
      <c r="DW2">
        <v>0.04</v>
      </c>
      <c r="DX2">
        <v>91.5</v>
      </c>
      <c r="DY2">
        <v>44.6</v>
      </c>
      <c r="DZ2">
        <v>287.45</v>
      </c>
      <c r="EA2">
        <v>95.3</v>
      </c>
    </row>
    <row r="3" spans="1:131">
      <c r="A3" s="2">
        <v>43252</v>
      </c>
      <c r="B3" t="s">
        <v>125</v>
      </c>
      <c r="C3">
        <v>961</v>
      </c>
      <c r="D3" t="s">
        <v>126</v>
      </c>
      <c r="E3">
        <v>2</v>
      </c>
      <c r="BK3">
        <v>450</v>
      </c>
      <c r="DW3">
        <v>0.04</v>
      </c>
      <c r="DX3">
        <v>93.2</v>
      </c>
      <c r="DY3">
        <v>45.1</v>
      </c>
      <c r="DZ3">
        <v>291.98</v>
      </c>
      <c r="EA3">
        <v>94.2</v>
      </c>
    </row>
    <row r="4" spans="1:131">
      <c r="A4" s="2">
        <v>43252</v>
      </c>
      <c r="B4" t="s">
        <v>125</v>
      </c>
      <c r="C4">
        <v>961</v>
      </c>
      <c r="D4" t="s">
        <v>126</v>
      </c>
      <c r="E4">
        <v>3</v>
      </c>
      <c r="BK4">
        <v>450</v>
      </c>
      <c r="DW4">
        <v>0.04</v>
      </c>
      <c r="DX4">
        <v>92.2</v>
      </c>
      <c r="DY4">
        <v>44.9</v>
      </c>
      <c r="DZ4">
        <v>299.83999999999997</v>
      </c>
      <c r="EA4">
        <v>92.5</v>
      </c>
    </row>
    <row r="5" spans="1:131">
      <c r="A5" s="2">
        <v>43252</v>
      </c>
      <c r="B5" t="s">
        <v>125</v>
      </c>
      <c r="C5">
        <v>961</v>
      </c>
      <c r="D5" t="s">
        <v>126</v>
      </c>
      <c r="E5">
        <v>4</v>
      </c>
      <c r="BK5">
        <v>450</v>
      </c>
      <c r="DW5">
        <v>0.04</v>
      </c>
      <c r="DX5">
        <v>89.1</v>
      </c>
      <c r="DY5">
        <v>42.9</v>
      </c>
      <c r="DZ5">
        <v>303.83</v>
      </c>
      <c r="EA5">
        <v>96.6</v>
      </c>
    </row>
    <row r="6" spans="1:131">
      <c r="A6" s="2">
        <v>43299</v>
      </c>
      <c r="B6" t="s">
        <v>127</v>
      </c>
      <c r="C6">
        <v>950</v>
      </c>
      <c r="D6" t="s">
        <v>128</v>
      </c>
      <c r="E6">
        <v>11</v>
      </c>
      <c r="BK6">
        <v>224</v>
      </c>
      <c r="DW6">
        <v>0.04</v>
      </c>
      <c r="DX6">
        <v>62</v>
      </c>
      <c r="DY6">
        <v>27.5</v>
      </c>
      <c r="DZ6">
        <v>103.17</v>
      </c>
      <c r="EA6">
        <v>84.2</v>
      </c>
    </row>
    <row r="7" spans="1:131">
      <c r="A7" s="2">
        <v>43299</v>
      </c>
      <c r="B7" t="s">
        <v>127</v>
      </c>
      <c r="C7">
        <v>950</v>
      </c>
      <c r="D7" t="s">
        <v>128</v>
      </c>
      <c r="E7">
        <v>12</v>
      </c>
      <c r="BK7">
        <v>224</v>
      </c>
      <c r="DW7">
        <v>0.04</v>
      </c>
      <c r="DX7">
        <v>60.1</v>
      </c>
      <c r="DY7">
        <v>27.1</v>
      </c>
      <c r="DZ7">
        <v>113.09</v>
      </c>
      <c r="EA7">
        <v>84.1</v>
      </c>
    </row>
    <row r="8" spans="1:131">
      <c r="A8" s="2">
        <v>43299</v>
      </c>
      <c r="B8" t="s">
        <v>127</v>
      </c>
      <c r="C8">
        <v>950</v>
      </c>
      <c r="D8" t="s">
        <v>128</v>
      </c>
      <c r="E8">
        <v>13</v>
      </c>
      <c r="BK8">
        <v>224</v>
      </c>
      <c r="DW8">
        <v>0.04</v>
      </c>
      <c r="DX8">
        <v>61.5</v>
      </c>
      <c r="DY8">
        <v>26.8</v>
      </c>
      <c r="DZ8">
        <v>117.93</v>
      </c>
      <c r="EA8">
        <v>82.8</v>
      </c>
    </row>
    <row r="9" spans="1:131">
      <c r="A9" s="2">
        <v>43299</v>
      </c>
      <c r="B9" t="s">
        <v>127</v>
      </c>
      <c r="C9">
        <v>950</v>
      </c>
      <c r="D9" t="s">
        <v>128</v>
      </c>
      <c r="E9">
        <v>14</v>
      </c>
      <c r="BK9">
        <v>224</v>
      </c>
      <c r="DW9">
        <v>0.04</v>
      </c>
      <c r="DX9">
        <v>61.8</v>
      </c>
      <c r="DY9">
        <v>26.7</v>
      </c>
      <c r="DZ9">
        <v>117.53</v>
      </c>
      <c r="EA9">
        <v>82.6</v>
      </c>
    </row>
    <row r="10" spans="1:131">
      <c r="A10" s="2">
        <v>43299</v>
      </c>
      <c r="B10" t="s">
        <v>127</v>
      </c>
      <c r="C10">
        <v>950</v>
      </c>
      <c r="D10" t="s">
        <v>128</v>
      </c>
      <c r="E10">
        <v>15</v>
      </c>
      <c r="BK10">
        <v>224</v>
      </c>
      <c r="DW10">
        <v>0.04</v>
      </c>
      <c r="DX10">
        <v>61.3</v>
      </c>
      <c r="DY10">
        <v>26.8</v>
      </c>
      <c r="DZ10">
        <v>121.55</v>
      </c>
      <c r="EA10">
        <v>83.3</v>
      </c>
    </row>
    <row r="11" spans="1:131">
      <c r="A11" s="2">
        <v>43299</v>
      </c>
      <c r="B11" t="s">
        <v>127</v>
      </c>
      <c r="C11">
        <v>950</v>
      </c>
      <c r="D11" t="s">
        <v>128</v>
      </c>
      <c r="E11">
        <v>16</v>
      </c>
      <c r="BK11">
        <v>224</v>
      </c>
      <c r="DW11">
        <v>0.04</v>
      </c>
      <c r="DX11">
        <v>62</v>
      </c>
      <c r="DY11">
        <v>26.3</v>
      </c>
      <c r="DZ11">
        <v>107.01</v>
      </c>
      <c r="EA11">
        <v>82</v>
      </c>
    </row>
    <row r="12" spans="1:131">
      <c r="A12" s="2">
        <v>43299</v>
      </c>
      <c r="B12" t="s">
        <v>127</v>
      </c>
      <c r="C12">
        <v>950</v>
      </c>
      <c r="D12" t="s">
        <v>128</v>
      </c>
      <c r="E12">
        <v>17</v>
      </c>
      <c r="BK12">
        <v>224</v>
      </c>
      <c r="DW12">
        <v>0.04</v>
      </c>
      <c r="DX12">
        <v>61</v>
      </c>
      <c r="DY12">
        <v>26.1</v>
      </c>
      <c r="DZ12">
        <v>106.37</v>
      </c>
      <c r="EA12">
        <v>82.6</v>
      </c>
    </row>
    <row r="13" spans="1:131">
      <c r="A13" s="2">
        <v>43299</v>
      </c>
      <c r="B13" t="s">
        <v>127</v>
      </c>
      <c r="C13">
        <v>950</v>
      </c>
      <c r="D13" t="s">
        <v>128</v>
      </c>
      <c r="E13">
        <v>18</v>
      </c>
      <c r="BK13">
        <v>224</v>
      </c>
      <c r="DW13">
        <v>0.04</v>
      </c>
      <c r="DX13">
        <v>60.8</v>
      </c>
      <c r="DY13">
        <v>26.5</v>
      </c>
      <c r="DZ13">
        <v>105.3</v>
      </c>
      <c r="EA13">
        <v>82.3</v>
      </c>
    </row>
    <row r="14" spans="1:131">
      <c r="A14" s="2">
        <v>43299</v>
      </c>
      <c r="B14" t="s">
        <v>127</v>
      </c>
      <c r="C14">
        <v>950</v>
      </c>
      <c r="D14" t="s">
        <v>128</v>
      </c>
      <c r="E14">
        <v>19</v>
      </c>
      <c r="BK14">
        <v>224</v>
      </c>
      <c r="DW14">
        <v>0.04</v>
      </c>
      <c r="DX14">
        <v>58.6</v>
      </c>
      <c r="DY14">
        <v>25.7</v>
      </c>
      <c r="DZ14">
        <v>104.63</v>
      </c>
      <c r="EA14">
        <v>82.4</v>
      </c>
    </row>
    <row r="15" spans="1:131">
      <c r="A15" s="2">
        <v>43299</v>
      </c>
      <c r="B15" t="s">
        <v>127</v>
      </c>
      <c r="C15">
        <v>950</v>
      </c>
      <c r="D15" t="s">
        <v>128</v>
      </c>
      <c r="E15">
        <v>20</v>
      </c>
      <c r="BK15">
        <v>224</v>
      </c>
      <c r="DW15">
        <v>0.04</v>
      </c>
      <c r="DX15">
        <v>61.3</v>
      </c>
      <c r="DY15">
        <v>26.5</v>
      </c>
      <c r="DZ15">
        <v>112.58</v>
      </c>
      <c r="EA15">
        <v>82</v>
      </c>
    </row>
    <row r="16" spans="1:131">
      <c r="A16" s="2">
        <v>43299</v>
      </c>
      <c r="B16" t="s">
        <v>127</v>
      </c>
      <c r="C16">
        <v>950</v>
      </c>
      <c r="D16" t="s">
        <v>128</v>
      </c>
      <c r="E16">
        <v>21</v>
      </c>
      <c r="BK16">
        <v>224</v>
      </c>
      <c r="DW16">
        <v>0.04</v>
      </c>
      <c r="DX16">
        <v>61.6</v>
      </c>
      <c r="DY16">
        <v>27.4</v>
      </c>
      <c r="DZ16">
        <v>116.77</v>
      </c>
      <c r="EA16">
        <v>84.8</v>
      </c>
    </row>
    <row r="17" spans="1:131">
      <c r="A17" s="2">
        <v>43299</v>
      </c>
      <c r="B17" t="s">
        <v>127</v>
      </c>
      <c r="C17">
        <v>950</v>
      </c>
      <c r="D17" t="s">
        <v>128</v>
      </c>
      <c r="E17">
        <v>22</v>
      </c>
      <c r="BK17">
        <v>224</v>
      </c>
      <c r="DW17">
        <v>0.04</v>
      </c>
      <c r="DX17">
        <v>59.8</v>
      </c>
      <c r="DY17">
        <v>26.6</v>
      </c>
      <c r="DZ17">
        <v>109.2</v>
      </c>
      <c r="EA17">
        <v>84.6</v>
      </c>
    </row>
    <row r="18" spans="1:131">
      <c r="A18" s="2">
        <v>43299</v>
      </c>
      <c r="B18" t="s">
        <v>127</v>
      </c>
      <c r="C18">
        <v>950</v>
      </c>
      <c r="D18" t="s">
        <v>128</v>
      </c>
      <c r="E18">
        <v>23</v>
      </c>
      <c r="BK18">
        <v>224</v>
      </c>
      <c r="DW18">
        <v>0.04</v>
      </c>
      <c r="DX18">
        <v>62</v>
      </c>
      <c r="DY18">
        <v>26.8</v>
      </c>
      <c r="DZ18">
        <v>107.31</v>
      </c>
      <c r="EA18">
        <v>85</v>
      </c>
    </row>
    <row r="19" spans="1:131">
      <c r="A19" s="2">
        <v>43299</v>
      </c>
      <c r="B19" t="s">
        <v>127</v>
      </c>
      <c r="C19">
        <v>950</v>
      </c>
      <c r="D19" t="s">
        <v>128</v>
      </c>
      <c r="E19">
        <v>24</v>
      </c>
      <c r="BK19">
        <v>224</v>
      </c>
      <c r="DW19">
        <v>0.04</v>
      </c>
      <c r="DX19">
        <v>62.1</v>
      </c>
      <c r="DY19">
        <v>26.5</v>
      </c>
      <c r="DZ19">
        <v>121.34</v>
      </c>
      <c r="EA19">
        <v>84.6</v>
      </c>
    </row>
    <row r="20" spans="1:131">
      <c r="A20" s="2">
        <v>43299</v>
      </c>
      <c r="B20" t="s">
        <v>127</v>
      </c>
      <c r="C20">
        <v>950</v>
      </c>
      <c r="D20" t="s">
        <v>128</v>
      </c>
      <c r="E20">
        <v>25</v>
      </c>
      <c r="BK20">
        <v>224</v>
      </c>
      <c r="DW20">
        <v>0.04</v>
      </c>
      <c r="DX20">
        <v>60.3</v>
      </c>
      <c r="DY20">
        <v>26.3</v>
      </c>
      <c r="DZ20">
        <v>116.62</v>
      </c>
      <c r="EA20">
        <v>84.3</v>
      </c>
    </row>
    <row r="21" spans="1:131">
      <c r="A21" s="2">
        <v>43299</v>
      </c>
      <c r="B21" t="s">
        <v>127</v>
      </c>
      <c r="C21">
        <v>950</v>
      </c>
      <c r="D21" t="s">
        <v>128</v>
      </c>
      <c r="E21">
        <v>26</v>
      </c>
      <c r="BK21">
        <v>224</v>
      </c>
      <c r="DW21">
        <v>0.04</v>
      </c>
      <c r="DX21">
        <v>61.4</v>
      </c>
      <c r="DY21">
        <v>27.5</v>
      </c>
      <c r="DZ21">
        <v>114.25</v>
      </c>
      <c r="EA21">
        <v>84.7</v>
      </c>
    </row>
    <row r="22" spans="1:131">
      <c r="A22" s="2">
        <v>43299</v>
      </c>
      <c r="B22" t="s">
        <v>127</v>
      </c>
      <c r="C22">
        <v>950</v>
      </c>
      <c r="D22" t="s">
        <v>128</v>
      </c>
      <c r="E22">
        <v>27</v>
      </c>
      <c r="BK22">
        <v>224</v>
      </c>
      <c r="DW22">
        <v>0.04</v>
      </c>
      <c r="DX22">
        <v>61</v>
      </c>
      <c r="DY22">
        <v>26.3</v>
      </c>
      <c r="DZ22">
        <v>120.92</v>
      </c>
      <c r="EA22">
        <v>84.3</v>
      </c>
    </row>
    <row r="23" spans="1:131">
      <c r="A23" s="2">
        <v>43299</v>
      </c>
      <c r="B23" t="s">
        <v>127</v>
      </c>
      <c r="C23">
        <v>950</v>
      </c>
      <c r="D23" t="s">
        <v>128</v>
      </c>
      <c r="E23">
        <v>28</v>
      </c>
      <c r="BK23">
        <v>224</v>
      </c>
      <c r="DW23">
        <v>0.04</v>
      </c>
      <c r="DX23">
        <v>60.8</v>
      </c>
      <c r="DY23">
        <v>27.2</v>
      </c>
      <c r="DZ23">
        <v>133.62</v>
      </c>
      <c r="EA23">
        <v>85</v>
      </c>
    </row>
    <row r="24" spans="1:131">
      <c r="A24" s="2">
        <v>43299</v>
      </c>
      <c r="B24" t="s">
        <v>127</v>
      </c>
      <c r="C24">
        <v>950</v>
      </c>
      <c r="D24" t="s">
        <v>128</v>
      </c>
      <c r="E24">
        <v>29</v>
      </c>
      <c r="BK24">
        <v>224</v>
      </c>
      <c r="DW24">
        <v>0.04</v>
      </c>
      <c r="DX24">
        <v>62.2</v>
      </c>
      <c r="DY24">
        <v>27.8</v>
      </c>
      <c r="DZ24">
        <v>124.86</v>
      </c>
      <c r="EA24">
        <v>85</v>
      </c>
    </row>
    <row r="25" spans="1:131">
      <c r="A25" s="2">
        <v>43299</v>
      </c>
      <c r="B25" t="s">
        <v>127</v>
      </c>
      <c r="C25">
        <v>950</v>
      </c>
      <c r="D25" t="s">
        <v>128</v>
      </c>
      <c r="E25">
        <v>30</v>
      </c>
      <c r="BK25">
        <v>224</v>
      </c>
      <c r="DW25">
        <v>0.04</v>
      </c>
      <c r="DX25">
        <v>59.4</v>
      </c>
      <c r="DY25">
        <v>26.1</v>
      </c>
      <c r="DZ25">
        <v>122.02</v>
      </c>
      <c r="EA25">
        <v>83.6</v>
      </c>
    </row>
    <row r="26" spans="1:131">
      <c r="A26" s="2">
        <v>43299</v>
      </c>
      <c r="B26" t="s">
        <v>127</v>
      </c>
      <c r="C26">
        <v>950</v>
      </c>
      <c r="D26" t="s">
        <v>128</v>
      </c>
      <c r="E26">
        <v>31</v>
      </c>
      <c r="BK26">
        <v>224</v>
      </c>
      <c r="DW26">
        <v>0.04</v>
      </c>
      <c r="DX26">
        <v>61.3</v>
      </c>
      <c r="DY26">
        <v>27.2</v>
      </c>
      <c r="DZ26">
        <v>132.26</v>
      </c>
      <c r="EA26">
        <v>83.1</v>
      </c>
    </row>
    <row r="27" spans="1:131">
      <c r="A27" s="2">
        <v>43299</v>
      </c>
      <c r="B27" t="s">
        <v>127</v>
      </c>
      <c r="C27">
        <v>950</v>
      </c>
      <c r="D27" t="s">
        <v>128</v>
      </c>
      <c r="E27">
        <v>32</v>
      </c>
      <c r="BK27">
        <v>224</v>
      </c>
      <c r="DW27">
        <v>0.04</v>
      </c>
      <c r="DX27">
        <v>60.9</v>
      </c>
      <c r="DY27">
        <v>26.6</v>
      </c>
      <c r="DZ27">
        <v>122.7</v>
      </c>
      <c r="EA27">
        <v>84.3</v>
      </c>
    </row>
    <row r="28" spans="1:131">
      <c r="A28" s="2">
        <v>43299</v>
      </c>
      <c r="B28" t="s">
        <v>127</v>
      </c>
      <c r="C28">
        <v>950</v>
      </c>
      <c r="D28" t="s">
        <v>128</v>
      </c>
      <c r="E28">
        <v>33</v>
      </c>
      <c r="BK28">
        <v>224</v>
      </c>
      <c r="DW28">
        <v>0.04</v>
      </c>
      <c r="DX28">
        <v>60.6</v>
      </c>
      <c r="DY28">
        <v>27.4</v>
      </c>
      <c r="DZ28">
        <v>127.28</v>
      </c>
      <c r="EA28">
        <v>85.2</v>
      </c>
    </row>
    <row r="29" spans="1:131">
      <c r="A29" s="2">
        <v>43299</v>
      </c>
      <c r="B29" t="s">
        <v>127</v>
      </c>
      <c r="C29">
        <v>950</v>
      </c>
      <c r="D29" t="s">
        <v>128</v>
      </c>
      <c r="E29">
        <v>34</v>
      </c>
      <c r="BK29">
        <v>224</v>
      </c>
      <c r="DW29">
        <v>0.04</v>
      </c>
      <c r="DX29">
        <v>62</v>
      </c>
      <c r="DY29">
        <v>26.7</v>
      </c>
      <c r="DZ29">
        <v>122.38</v>
      </c>
      <c r="EA29">
        <v>84.7</v>
      </c>
    </row>
    <row r="30" spans="1:131">
      <c r="A30" s="2">
        <v>43299</v>
      </c>
      <c r="B30" t="s">
        <v>127</v>
      </c>
      <c r="C30">
        <v>950</v>
      </c>
      <c r="D30" t="s">
        <v>128</v>
      </c>
      <c r="E30">
        <v>35</v>
      </c>
      <c r="BK30">
        <v>224</v>
      </c>
      <c r="DW30">
        <v>0.04</v>
      </c>
      <c r="DX30">
        <v>60.6</v>
      </c>
      <c r="DY30">
        <v>26.9</v>
      </c>
      <c r="DZ30">
        <v>133.91</v>
      </c>
      <c r="EA30">
        <v>84.8</v>
      </c>
    </row>
    <row r="31" spans="1:131">
      <c r="A31" s="2">
        <v>43299</v>
      </c>
      <c r="B31" t="s">
        <v>127</v>
      </c>
      <c r="C31">
        <v>950</v>
      </c>
      <c r="D31" t="s">
        <v>128</v>
      </c>
      <c r="E31">
        <v>36</v>
      </c>
      <c r="BK31">
        <v>224</v>
      </c>
      <c r="DW31">
        <v>0.04</v>
      </c>
      <c r="DX31">
        <v>60.2</v>
      </c>
      <c r="DY31">
        <v>26.4</v>
      </c>
      <c r="DZ31">
        <v>133.93</v>
      </c>
      <c r="EA31">
        <v>85.7</v>
      </c>
    </row>
    <row r="32" spans="1:131">
      <c r="A32" s="2">
        <v>43299</v>
      </c>
      <c r="B32" t="s">
        <v>127</v>
      </c>
      <c r="C32">
        <v>950</v>
      </c>
      <c r="D32" t="s">
        <v>128</v>
      </c>
      <c r="E32">
        <v>37</v>
      </c>
      <c r="BK32">
        <v>224</v>
      </c>
      <c r="DW32">
        <v>0.04</v>
      </c>
      <c r="DX32">
        <v>60.8</v>
      </c>
      <c r="DY32">
        <v>27.1</v>
      </c>
      <c r="DZ32">
        <v>136.06</v>
      </c>
      <c r="EA32">
        <v>84.4</v>
      </c>
    </row>
    <row r="33" spans="1:131">
      <c r="A33" s="2">
        <v>43299</v>
      </c>
      <c r="B33" t="s">
        <v>127</v>
      </c>
      <c r="C33">
        <v>950</v>
      </c>
      <c r="D33" t="s">
        <v>128</v>
      </c>
      <c r="E33">
        <v>38</v>
      </c>
      <c r="BK33">
        <v>224</v>
      </c>
      <c r="DW33">
        <v>0.04</v>
      </c>
      <c r="DX33">
        <v>61.6</v>
      </c>
      <c r="DY33">
        <v>27.2</v>
      </c>
      <c r="DZ33">
        <v>131.26</v>
      </c>
      <c r="EA33">
        <v>84.6</v>
      </c>
    </row>
    <row r="34" spans="1:131">
      <c r="A34" s="2">
        <v>43299</v>
      </c>
      <c r="B34" t="s">
        <v>127</v>
      </c>
      <c r="C34">
        <v>950</v>
      </c>
      <c r="D34" t="s">
        <v>128</v>
      </c>
      <c r="E34">
        <v>39</v>
      </c>
      <c r="BK34">
        <v>224</v>
      </c>
      <c r="DW34">
        <v>0.04</v>
      </c>
      <c r="DX34">
        <v>60.5</v>
      </c>
      <c r="DY34">
        <v>26.8</v>
      </c>
      <c r="DZ34">
        <v>136.33000000000001</v>
      </c>
      <c r="EA34">
        <v>84.5</v>
      </c>
    </row>
    <row r="35" spans="1:131">
      <c r="A35" s="2">
        <v>43299</v>
      </c>
      <c r="B35" t="s">
        <v>127</v>
      </c>
      <c r="C35">
        <v>950</v>
      </c>
      <c r="D35" t="s">
        <v>128</v>
      </c>
      <c r="E35">
        <v>40</v>
      </c>
      <c r="BK35">
        <v>224</v>
      </c>
      <c r="DW35">
        <v>0.04</v>
      </c>
      <c r="DX35">
        <v>61.3</v>
      </c>
      <c r="DY35">
        <v>269</v>
      </c>
      <c r="DZ35">
        <v>123.51</v>
      </c>
      <c r="EA35">
        <v>84.5</v>
      </c>
    </row>
    <row r="36" spans="1:131">
      <c r="A36" s="2">
        <v>43299</v>
      </c>
      <c r="B36" t="s">
        <v>127</v>
      </c>
      <c r="C36">
        <v>950</v>
      </c>
      <c r="D36" t="s">
        <v>128</v>
      </c>
      <c r="E36">
        <v>41</v>
      </c>
      <c r="BK36">
        <v>224</v>
      </c>
      <c r="DW36">
        <v>0.04</v>
      </c>
      <c r="DX36">
        <v>59.6</v>
      </c>
      <c r="DY36">
        <v>26.5</v>
      </c>
      <c r="DZ36">
        <v>137.65</v>
      </c>
      <c r="EA36">
        <v>84.1</v>
      </c>
    </row>
    <row r="37" spans="1:131">
      <c r="A37" s="2">
        <v>43299</v>
      </c>
      <c r="B37" t="s">
        <v>125</v>
      </c>
      <c r="C37">
        <v>950</v>
      </c>
      <c r="D37" t="s">
        <v>128</v>
      </c>
      <c r="E37">
        <v>43</v>
      </c>
      <c r="BK37">
        <v>224</v>
      </c>
      <c r="DW37">
        <v>0.04</v>
      </c>
      <c r="DX37">
        <v>60</v>
      </c>
      <c r="DY37">
        <v>27.2</v>
      </c>
      <c r="DZ37">
        <v>134.57</v>
      </c>
      <c r="EA37">
        <v>84.8</v>
      </c>
    </row>
    <row r="38" spans="1:131">
      <c r="A38" s="2">
        <v>43299</v>
      </c>
      <c r="B38" t="s">
        <v>125</v>
      </c>
      <c r="C38">
        <v>950</v>
      </c>
      <c r="D38" t="s">
        <v>128</v>
      </c>
      <c r="E38">
        <v>44</v>
      </c>
      <c r="BK38">
        <v>224</v>
      </c>
      <c r="DW38">
        <v>0.04</v>
      </c>
      <c r="DX38">
        <v>58.6</v>
      </c>
      <c r="DY38">
        <v>26.6</v>
      </c>
      <c r="DZ38">
        <v>131.66999999999999</v>
      </c>
      <c r="EA38">
        <v>85</v>
      </c>
    </row>
    <row r="39" spans="1:131">
      <c r="A39" s="2">
        <v>43299</v>
      </c>
      <c r="B39" t="s">
        <v>125</v>
      </c>
      <c r="C39">
        <v>950</v>
      </c>
      <c r="D39" t="s">
        <v>128</v>
      </c>
      <c r="E39">
        <v>45</v>
      </c>
      <c r="BK39">
        <v>224</v>
      </c>
      <c r="DW39">
        <v>0.04</v>
      </c>
      <c r="DX39">
        <v>60.7</v>
      </c>
      <c r="DY39">
        <v>25.9</v>
      </c>
      <c r="DZ39">
        <v>137.46</v>
      </c>
      <c r="EA39">
        <v>84.1</v>
      </c>
    </row>
    <row r="40" spans="1:131">
      <c r="A40" s="2">
        <v>43299</v>
      </c>
      <c r="B40" t="s">
        <v>125</v>
      </c>
      <c r="C40">
        <v>950</v>
      </c>
      <c r="D40" t="s">
        <v>128</v>
      </c>
      <c r="E40">
        <v>46</v>
      </c>
      <c r="BK40">
        <v>224</v>
      </c>
      <c r="DW40">
        <v>0.04</v>
      </c>
      <c r="DX40">
        <v>59.1</v>
      </c>
      <c r="DY40">
        <v>27</v>
      </c>
      <c r="DZ40">
        <v>134.94</v>
      </c>
      <c r="EA40">
        <v>83.3</v>
      </c>
    </row>
    <row r="41" spans="1:131">
      <c r="A41" s="2">
        <v>43299</v>
      </c>
      <c r="B41" t="s">
        <v>125</v>
      </c>
      <c r="C41">
        <v>950</v>
      </c>
      <c r="D41" t="s">
        <v>128</v>
      </c>
      <c r="E41">
        <v>47</v>
      </c>
      <c r="BK41">
        <v>224</v>
      </c>
      <c r="DW41">
        <v>0.04</v>
      </c>
      <c r="DX41">
        <v>61.2</v>
      </c>
      <c r="DY41">
        <v>27.1</v>
      </c>
      <c r="DZ41">
        <v>142.13999999999999</v>
      </c>
      <c r="EA41">
        <v>83.5</v>
      </c>
    </row>
    <row r="42" spans="1:131">
      <c r="A42" s="2">
        <v>43299</v>
      </c>
      <c r="B42" t="s">
        <v>125</v>
      </c>
      <c r="C42">
        <v>950</v>
      </c>
      <c r="D42" t="s">
        <v>128</v>
      </c>
      <c r="E42">
        <v>48</v>
      </c>
      <c r="BK42">
        <v>224</v>
      </c>
      <c r="DW42">
        <v>0.04</v>
      </c>
      <c r="DX42">
        <v>60.2</v>
      </c>
      <c r="DY42">
        <v>26.5</v>
      </c>
      <c r="DZ42">
        <v>143.15</v>
      </c>
      <c r="EA42">
        <v>82.5</v>
      </c>
    </row>
    <row r="43" spans="1:131">
      <c r="A43" s="2">
        <v>43311</v>
      </c>
      <c r="B43" t="s">
        <v>125</v>
      </c>
      <c r="C43">
        <v>961</v>
      </c>
      <c r="D43" t="s">
        <v>126</v>
      </c>
      <c r="E43">
        <v>1</v>
      </c>
      <c r="BK43">
        <v>450</v>
      </c>
      <c r="DW43">
        <v>0.04</v>
      </c>
      <c r="DX43">
        <v>90.2</v>
      </c>
      <c r="DY43">
        <v>44.2</v>
      </c>
      <c r="DZ43">
        <v>265.66000000000003</v>
      </c>
      <c r="EA43">
        <v>92.7</v>
      </c>
    </row>
    <row r="44" spans="1:131">
      <c r="A44" s="2">
        <v>43311</v>
      </c>
      <c r="B44" t="s">
        <v>125</v>
      </c>
      <c r="C44">
        <v>961</v>
      </c>
      <c r="D44" t="s">
        <v>126</v>
      </c>
      <c r="E44">
        <v>2</v>
      </c>
      <c r="BK44">
        <v>450</v>
      </c>
      <c r="DW44">
        <v>0.04</v>
      </c>
      <c r="DX44">
        <v>88.3</v>
      </c>
      <c r="DY44">
        <v>43.2</v>
      </c>
      <c r="DZ44">
        <v>291.69</v>
      </c>
      <c r="EA44">
        <v>90.8</v>
      </c>
    </row>
    <row r="45" spans="1:131">
      <c r="A45" s="2">
        <v>43311</v>
      </c>
      <c r="B45" t="s">
        <v>125</v>
      </c>
      <c r="C45">
        <v>961</v>
      </c>
      <c r="D45" t="s">
        <v>126</v>
      </c>
      <c r="E45">
        <v>3</v>
      </c>
      <c r="BK45">
        <v>450</v>
      </c>
      <c r="DW45">
        <v>0.04</v>
      </c>
      <c r="DX45">
        <v>90.9</v>
      </c>
      <c r="DY45">
        <v>43</v>
      </c>
      <c r="DZ45">
        <v>286.56</v>
      </c>
      <c r="EA45">
        <v>89.5</v>
      </c>
    </row>
    <row r="46" spans="1:131">
      <c r="A46" s="2">
        <v>43311</v>
      </c>
      <c r="B46" t="s">
        <v>125</v>
      </c>
      <c r="C46">
        <v>961</v>
      </c>
      <c r="D46" t="s">
        <v>126</v>
      </c>
      <c r="E46">
        <v>4</v>
      </c>
      <c r="BK46">
        <v>450</v>
      </c>
      <c r="DW46">
        <v>0.04</v>
      </c>
      <c r="DX46">
        <v>90.7</v>
      </c>
      <c r="DY46">
        <v>43.1</v>
      </c>
      <c r="DZ46">
        <v>267.41000000000003</v>
      </c>
      <c r="EA46">
        <v>90.3</v>
      </c>
    </row>
    <row r="47" spans="1:131">
      <c r="A47" s="2">
        <v>43311</v>
      </c>
      <c r="B47" t="s">
        <v>125</v>
      </c>
      <c r="C47">
        <v>961</v>
      </c>
      <c r="D47" t="s">
        <v>126</v>
      </c>
      <c r="E47">
        <v>5</v>
      </c>
      <c r="BK47">
        <v>450</v>
      </c>
      <c r="DW47">
        <v>0.04</v>
      </c>
      <c r="DX47">
        <v>88</v>
      </c>
      <c r="DY47">
        <v>41.1</v>
      </c>
      <c r="DZ47">
        <v>258.35000000000002</v>
      </c>
      <c r="EA47">
        <v>90.2</v>
      </c>
    </row>
    <row r="48" spans="1:131">
      <c r="A48" s="2">
        <v>43311</v>
      </c>
      <c r="B48" t="s">
        <v>125</v>
      </c>
      <c r="C48">
        <v>961</v>
      </c>
      <c r="D48" t="s">
        <v>126</v>
      </c>
      <c r="E48">
        <v>6</v>
      </c>
      <c r="BK48">
        <v>450</v>
      </c>
      <c r="DW48">
        <v>0.04</v>
      </c>
      <c r="DX48">
        <v>92.5</v>
      </c>
      <c r="DY48">
        <v>42.3</v>
      </c>
      <c r="DZ48">
        <v>261.06</v>
      </c>
      <c r="EA48">
        <v>90.7</v>
      </c>
    </row>
    <row r="49" spans="1:131">
      <c r="A49" s="2">
        <v>43311</v>
      </c>
      <c r="B49" t="s">
        <v>125</v>
      </c>
      <c r="C49">
        <v>961</v>
      </c>
      <c r="D49" t="s">
        <v>126</v>
      </c>
      <c r="E49">
        <v>7</v>
      </c>
      <c r="BK49">
        <v>450</v>
      </c>
      <c r="DW49">
        <v>0.04</v>
      </c>
      <c r="DX49">
        <v>91.1</v>
      </c>
      <c r="DY49">
        <v>41.9</v>
      </c>
      <c r="DZ49">
        <v>237.79</v>
      </c>
      <c r="EA49">
        <v>90.7</v>
      </c>
    </row>
    <row r="50" spans="1:131">
      <c r="A50" s="2">
        <v>43311</v>
      </c>
      <c r="B50" t="s">
        <v>125</v>
      </c>
      <c r="C50">
        <v>961</v>
      </c>
      <c r="D50" t="s">
        <v>126</v>
      </c>
      <c r="E50">
        <v>8</v>
      </c>
      <c r="BK50">
        <v>450</v>
      </c>
      <c r="DW50">
        <v>0.04</v>
      </c>
      <c r="DX50">
        <v>90.3</v>
      </c>
      <c r="DY50">
        <v>43.3</v>
      </c>
      <c r="DZ50">
        <v>273.73</v>
      </c>
      <c r="EA50">
        <v>92</v>
      </c>
    </row>
    <row r="51" spans="1:131">
      <c r="A51" s="2">
        <v>43311</v>
      </c>
      <c r="B51" t="s">
        <v>125</v>
      </c>
      <c r="C51">
        <v>961</v>
      </c>
      <c r="D51" t="s">
        <v>126</v>
      </c>
      <c r="E51">
        <v>9</v>
      </c>
      <c r="BK51">
        <v>450</v>
      </c>
      <c r="DW51">
        <v>0.04</v>
      </c>
      <c r="DX51">
        <v>90.9</v>
      </c>
      <c r="DY51">
        <v>43.9</v>
      </c>
      <c r="DZ51">
        <v>292.66000000000003</v>
      </c>
      <c r="EA51">
        <v>91</v>
      </c>
    </row>
    <row r="52" spans="1:131">
      <c r="A52" s="2">
        <v>43311</v>
      </c>
      <c r="B52" t="s">
        <v>125</v>
      </c>
      <c r="C52">
        <v>961</v>
      </c>
      <c r="D52" t="s">
        <v>126</v>
      </c>
      <c r="E52">
        <v>10</v>
      </c>
      <c r="BK52">
        <v>450</v>
      </c>
      <c r="DW52">
        <v>0.04</v>
      </c>
      <c r="DX52">
        <v>89.2</v>
      </c>
      <c r="DY52">
        <v>42.1</v>
      </c>
      <c r="DZ52">
        <v>283.88</v>
      </c>
      <c r="EA52">
        <v>89.8</v>
      </c>
    </row>
    <row r="53" spans="1:131">
      <c r="A53" s="2">
        <v>43313</v>
      </c>
      <c r="B53" t="s">
        <v>125</v>
      </c>
      <c r="C53">
        <v>961</v>
      </c>
      <c r="D53" t="s">
        <v>126</v>
      </c>
      <c r="E53">
        <v>97</v>
      </c>
      <c r="BK53">
        <v>420</v>
      </c>
      <c r="DW53">
        <v>0.04</v>
      </c>
      <c r="DX53">
        <v>93</v>
      </c>
      <c r="DY53">
        <v>44.6</v>
      </c>
      <c r="DZ53">
        <v>258.18</v>
      </c>
      <c r="EA53">
        <v>93.6</v>
      </c>
    </row>
    <row r="54" spans="1:131">
      <c r="A54" s="2">
        <v>43313</v>
      </c>
      <c r="B54" t="s">
        <v>125</v>
      </c>
      <c r="C54">
        <v>961</v>
      </c>
      <c r="D54" t="s">
        <v>126</v>
      </c>
      <c r="E54">
        <v>98</v>
      </c>
      <c r="BK54">
        <v>420</v>
      </c>
      <c r="DW54">
        <v>0.04</v>
      </c>
      <c r="DX54">
        <v>90</v>
      </c>
      <c r="DY54">
        <v>43.5</v>
      </c>
      <c r="DZ54">
        <v>288.11</v>
      </c>
      <c r="EA54">
        <v>92.8</v>
      </c>
    </row>
    <row r="55" spans="1:131">
      <c r="A55" s="2">
        <v>43313</v>
      </c>
      <c r="B55" t="s">
        <v>125</v>
      </c>
      <c r="C55">
        <v>961</v>
      </c>
      <c r="D55" t="s">
        <v>126</v>
      </c>
      <c r="E55">
        <v>99</v>
      </c>
      <c r="BK55">
        <v>420</v>
      </c>
      <c r="DW55">
        <v>0.04</v>
      </c>
      <c r="DX55">
        <v>93</v>
      </c>
      <c r="DY55">
        <v>43.4</v>
      </c>
      <c r="DZ55">
        <v>262.8</v>
      </c>
      <c r="EA55">
        <v>91.1</v>
      </c>
    </row>
    <row r="56" spans="1:131">
      <c r="A56" s="2">
        <v>43313</v>
      </c>
      <c r="B56" t="s">
        <v>125</v>
      </c>
      <c r="C56">
        <v>961</v>
      </c>
      <c r="D56" t="s">
        <v>126</v>
      </c>
      <c r="E56">
        <v>100</v>
      </c>
      <c r="BK56">
        <v>420</v>
      </c>
      <c r="DW56">
        <v>0.04</v>
      </c>
      <c r="DX56">
        <v>90</v>
      </c>
      <c r="DY56">
        <v>43.7</v>
      </c>
      <c r="DZ56">
        <v>297.89999999999998</v>
      </c>
      <c r="EA56">
        <v>93</v>
      </c>
    </row>
    <row r="57" spans="1:131">
      <c r="A57" s="2">
        <v>43313</v>
      </c>
      <c r="B57" t="s">
        <v>125</v>
      </c>
      <c r="C57">
        <v>961</v>
      </c>
      <c r="D57" t="s">
        <v>126</v>
      </c>
      <c r="E57">
        <v>101</v>
      </c>
      <c r="BK57">
        <v>420</v>
      </c>
      <c r="DW57">
        <v>0.04</v>
      </c>
      <c r="DX57">
        <v>93</v>
      </c>
      <c r="DY57">
        <v>44.8</v>
      </c>
      <c r="DZ57">
        <v>303.33</v>
      </c>
      <c r="EA57">
        <v>92.9</v>
      </c>
    </row>
    <row r="58" spans="1:131">
      <c r="A58" s="2">
        <v>43313</v>
      </c>
      <c r="B58" t="s">
        <v>125</v>
      </c>
      <c r="C58">
        <v>961</v>
      </c>
      <c r="D58" t="s">
        <v>126</v>
      </c>
      <c r="E58">
        <v>102</v>
      </c>
      <c r="BK58">
        <v>420</v>
      </c>
      <c r="DW58">
        <v>0.04</v>
      </c>
      <c r="DX58">
        <v>92.9</v>
      </c>
      <c r="DY58">
        <v>43.6</v>
      </c>
      <c r="DZ58">
        <v>285.23</v>
      </c>
      <c r="EA58">
        <v>90.3</v>
      </c>
    </row>
    <row r="59" spans="1:131">
      <c r="A59" s="2">
        <v>43313</v>
      </c>
      <c r="B59" t="s">
        <v>125</v>
      </c>
      <c r="C59">
        <v>961</v>
      </c>
      <c r="D59" t="s">
        <v>126</v>
      </c>
      <c r="E59">
        <v>103</v>
      </c>
      <c r="BK59">
        <v>420</v>
      </c>
      <c r="DW59">
        <v>0.04</v>
      </c>
      <c r="DX59">
        <v>90</v>
      </c>
      <c r="DY59">
        <v>41.3</v>
      </c>
      <c r="DZ59">
        <v>257.08</v>
      </c>
      <c r="EA59">
        <v>92.3</v>
      </c>
    </row>
    <row r="60" spans="1:131">
      <c r="A60" s="2">
        <v>43313</v>
      </c>
      <c r="B60" t="s">
        <v>125</v>
      </c>
      <c r="C60">
        <v>961</v>
      </c>
      <c r="D60" t="s">
        <v>126</v>
      </c>
      <c r="E60">
        <v>104</v>
      </c>
      <c r="BK60">
        <v>420</v>
      </c>
      <c r="DW60">
        <v>0.04</v>
      </c>
      <c r="DX60">
        <v>90.7</v>
      </c>
      <c r="DY60">
        <v>41.15</v>
      </c>
      <c r="DZ60">
        <v>269.66000000000003</v>
      </c>
      <c r="EA60">
        <v>90.1</v>
      </c>
    </row>
    <row r="61" spans="1:131">
      <c r="A61" s="2">
        <v>43313</v>
      </c>
      <c r="B61" t="s">
        <v>125</v>
      </c>
      <c r="C61">
        <v>961</v>
      </c>
      <c r="D61" t="s">
        <v>126</v>
      </c>
      <c r="E61">
        <v>105</v>
      </c>
      <c r="BK61">
        <v>420</v>
      </c>
      <c r="DW61">
        <v>0.04</v>
      </c>
      <c r="DX61">
        <v>89.2</v>
      </c>
      <c r="DY61">
        <v>41.4</v>
      </c>
      <c r="DZ61">
        <v>270.01</v>
      </c>
      <c r="EA61">
        <v>89.2</v>
      </c>
    </row>
    <row r="62" spans="1:131">
      <c r="A62" s="2">
        <v>43313</v>
      </c>
      <c r="B62" t="s">
        <v>125</v>
      </c>
      <c r="C62">
        <v>961</v>
      </c>
      <c r="D62" t="s">
        <v>126</v>
      </c>
      <c r="E62">
        <v>106</v>
      </c>
      <c r="BK62">
        <v>420</v>
      </c>
      <c r="DW62">
        <v>0.04</v>
      </c>
      <c r="DX62">
        <v>90.7</v>
      </c>
      <c r="DY62">
        <v>41.8</v>
      </c>
      <c r="DZ62">
        <v>272.19</v>
      </c>
      <c r="EA62">
        <v>90</v>
      </c>
    </row>
    <row r="63" spans="1:131">
      <c r="A63" s="2">
        <v>43313</v>
      </c>
      <c r="B63" t="s">
        <v>125</v>
      </c>
      <c r="C63">
        <v>961</v>
      </c>
      <c r="D63" t="s">
        <v>126</v>
      </c>
      <c r="E63">
        <v>107</v>
      </c>
      <c r="BK63">
        <v>420</v>
      </c>
      <c r="DW63">
        <v>0.04</v>
      </c>
      <c r="DX63">
        <v>93</v>
      </c>
      <c r="DY63">
        <v>44.1</v>
      </c>
      <c r="DZ63">
        <v>284.54000000000002</v>
      </c>
      <c r="EA63">
        <v>90.5</v>
      </c>
    </row>
    <row r="64" spans="1:131">
      <c r="A64" s="2">
        <v>43313</v>
      </c>
      <c r="B64" t="s">
        <v>125</v>
      </c>
      <c r="C64">
        <v>961</v>
      </c>
      <c r="D64" t="s">
        <v>126</v>
      </c>
      <c r="E64">
        <v>108</v>
      </c>
      <c r="BK64">
        <v>420</v>
      </c>
      <c r="DW64">
        <v>0.04</v>
      </c>
      <c r="DX64">
        <v>89.8</v>
      </c>
      <c r="DY64">
        <v>42.7</v>
      </c>
      <c r="DZ64">
        <v>273.77</v>
      </c>
      <c r="EA64">
        <v>90.5</v>
      </c>
    </row>
    <row r="65" spans="1:131">
      <c r="A65" s="2">
        <v>43313</v>
      </c>
      <c r="B65" t="s">
        <v>125</v>
      </c>
      <c r="C65">
        <v>961</v>
      </c>
      <c r="D65" t="s">
        <v>126</v>
      </c>
      <c r="E65">
        <v>109</v>
      </c>
      <c r="BK65">
        <v>420</v>
      </c>
      <c r="DW65">
        <v>0.04</v>
      </c>
      <c r="DX65">
        <v>90.7</v>
      </c>
      <c r="DY65">
        <v>42.8</v>
      </c>
      <c r="DZ65">
        <v>271.27999999999997</v>
      </c>
      <c r="EA65">
        <v>91.5</v>
      </c>
    </row>
    <row r="66" spans="1:131">
      <c r="A66" s="2">
        <v>43313</v>
      </c>
      <c r="B66" t="s">
        <v>125</v>
      </c>
      <c r="C66">
        <v>961</v>
      </c>
      <c r="D66" t="s">
        <v>126</v>
      </c>
      <c r="E66">
        <v>110</v>
      </c>
      <c r="BK66">
        <v>420</v>
      </c>
      <c r="DW66">
        <v>0.04</v>
      </c>
      <c r="DX66">
        <v>91.1</v>
      </c>
      <c r="DY66">
        <v>43.5</v>
      </c>
      <c r="DZ66">
        <v>293.02999999999997</v>
      </c>
      <c r="EA66">
        <v>91</v>
      </c>
    </row>
    <row r="67" spans="1:131">
      <c r="A67" s="2">
        <v>43313</v>
      </c>
      <c r="B67" t="s">
        <v>125</v>
      </c>
      <c r="C67">
        <v>961</v>
      </c>
      <c r="D67" t="s">
        <v>126</v>
      </c>
      <c r="E67">
        <v>111</v>
      </c>
      <c r="BK67">
        <v>420</v>
      </c>
      <c r="DW67">
        <v>0.04</v>
      </c>
      <c r="DX67">
        <v>91.4</v>
      </c>
      <c r="DY67">
        <v>42.5</v>
      </c>
      <c r="DZ67">
        <v>279.95999999999998</v>
      </c>
      <c r="EA67">
        <v>90.3</v>
      </c>
    </row>
    <row r="68" spans="1:131">
      <c r="A68" s="2">
        <v>43313</v>
      </c>
      <c r="B68" t="s">
        <v>125</v>
      </c>
      <c r="C68">
        <v>961</v>
      </c>
      <c r="D68" t="s">
        <v>126</v>
      </c>
      <c r="E68">
        <v>112</v>
      </c>
      <c r="BK68">
        <v>420</v>
      </c>
      <c r="DW68">
        <v>0.04</v>
      </c>
      <c r="DX68">
        <v>92.4</v>
      </c>
      <c r="DY68">
        <v>41.9</v>
      </c>
      <c r="DZ68">
        <v>271.89999999999998</v>
      </c>
      <c r="EA68">
        <v>91.3</v>
      </c>
    </row>
    <row r="69" spans="1:131">
      <c r="A69" s="2">
        <v>43313</v>
      </c>
      <c r="B69" t="s">
        <v>125</v>
      </c>
      <c r="C69">
        <v>961</v>
      </c>
      <c r="D69" t="s">
        <v>126</v>
      </c>
      <c r="E69">
        <v>113</v>
      </c>
      <c r="BK69">
        <v>420</v>
      </c>
      <c r="DW69">
        <v>0.04</v>
      </c>
      <c r="DX69">
        <v>90.5</v>
      </c>
      <c r="DY69">
        <v>43</v>
      </c>
      <c r="DZ69">
        <v>300.58</v>
      </c>
      <c r="EA69">
        <v>92.1</v>
      </c>
    </row>
    <row r="70" spans="1:131">
      <c r="A70" s="2">
        <v>43313</v>
      </c>
      <c r="B70" t="s">
        <v>125</v>
      </c>
      <c r="C70">
        <v>961</v>
      </c>
      <c r="D70" t="s">
        <v>126</v>
      </c>
      <c r="E70">
        <v>114</v>
      </c>
      <c r="BK70">
        <v>420</v>
      </c>
      <c r="DW70">
        <v>0.04</v>
      </c>
      <c r="DX70">
        <v>88.9</v>
      </c>
      <c r="DY70">
        <v>43.2</v>
      </c>
      <c r="DZ70">
        <v>321.24</v>
      </c>
      <c r="EA70">
        <v>92.6</v>
      </c>
    </row>
    <row r="71" spans="1:131">
      <c r="A71" s="2">
        <v>43313</v>
      </c>
      <c r="B71" t="s">
        <v>125</v>
      </c>
      <c r="C71">
        <v>961</v>
      </c>
      <c r="D71" t="s">
        <v>126</v>
      </c>
      <c r="E71">
        <v>115</v>
      </c>
      <c r="BK71">
        <v>420</v>
      </c>
      <c r="DW71">
        <v>0.04</v>
      </c>
      <c r="DX71">
        <v>92.2</v>
      </c>
      <c r="DY71">
        <v>44</v>
      </c>
      <c r="DZ71">
        <v>299.89999999999998</v>
      </c>
      <c r="EA71">
        <v>91.3</v>
      </c>
    </row>
    <row r="72" spans="1:131">
      <c r="A72" s="2">
        <v>43313</v>
      </c>
      <c r="B72" t="s">
        <v>125</v>
      </c>
      <c r="C72">
        <v>961</v>
      </c>
      <c r="D72" t="s">
        <v>126</v>
      </c>
      <c r="E72">
        <v>116</v>
      </c>
      <c r="BK72">
        <v>420</v>
      </c>
      <c r="DW72">
        <v>0.04</v>
      </c>
      <c r="DX72">
        <v>92.4</v>
      </c>
      <c r="DY72">
        <v>43.7</v>
      </c>
      <c r="DZ72">
        <v>297.88</v>
      </c>
      <c r="EA72">
        <v>90.7</v>
      </c>
    </row>
    <row r="73" spans="1:131">
      <c r="A73" s="2">
        <v>43313</v>
      </c>
      <c r="B73" t="s">
        <v>125</v>
      </c>
      <c r="C73">
        <v>961</v>
      </c>
      <c r="D73" t="s">
        <v>126</v>
      </c>
      <c r="E73">
        <v>117</v>
      </c>
      <c r="BK73">
        <v>420</v>
      </c>
      <c r="DW73">
        <v>0.04</v>
      </c>
      <c r="DX73">
        <v>92.3</v>
      </c>
      <c r="DY73">
        <v>41.2</v>
      </c>
      <c r="DZ73">
        <v>259.27999999999997</v>
      </c>
      <c r="EA73">
        <v>90</v>
      </c>
    </row>
    <row r="74" spans="1:131">
      <c r="A74" s="2">
        <v>43313</v>
      </c>
      <c r="B74" t="s">
        <v>125</v>
      </c>
      <c r="C74">
        <v>961</v>
      </c>
      <c r="D74" t="s">
        <v>126</v>
      </c>
      <c r="E74">
        <v>118</v>
      </c>
      <c r="BK74">
        <v>420</v>
      </c>
      <c r="DW74">
        <v>0.04</v>
      </c>
      <c r="DX74">
        <v>90.4</v>
      </c>
      <c r="DY74">
        <v>43.3</v>
      </c>
      <c r="DZ74">
        <v>294.93</v>
      </c>
      <c r="EA74">
        <v>90.5</v>
      </c>
    </row>
    <row r="75" spans="1:131">
      <c r="A75" s="2">
        <v>43313</v>
      </c>
      <c r="B75" t="s">
        <v>125</v>
      </c>
      <c r="C75">
        <v>961</v>
      </c>
      <c r="D75" t="s">
        <v>126</v>
      </c>
      <c r="E75">
        <v>119</v>
      </c>
      <c r="BK75">
        <v>420</v>
      </c>
      <c r="DW75">
        <v>0.04</v>
      </c>
      <c r="DX75">
        <v>88.5</v>
      </c>
      <c r="DY75">
        <v>42</v>
      </c>
      <c r="DZ75">
        <v>271.56</v>
      </c>
      <c r="EA75">
        <v>91.3</v>
      </c>
    </row>
    <row r="76" spans="1:131">
      <c r="A76" s="2">
        <v>43314</v>
      </c>
      <c r="B76" t="s">
        <v>127</v>
      </c>
      <c r="C76">
        <v>961</v>
      </c>
      <c r="D76" t="s">
        <v>126</v>
      </c>
      <c r="E76">
        <v>1</v>
      </c>
      <c r="BK76">
        <v>415</v>
      </c>
      <c r="DW76">
        <v>0.04</v>
      </c>
      <c r="DX76">
        <v>92.9</v>
      </c>
      <c r="DY76">
        <v>44.4</v>
      </c>
      <c r="DZ76">
        <v>312.91000000000003</v>
      </c>
      <c r="EA76">
        <v>94.2</v>
      </c>
    </row>
    <row r="77" spans="1:131">
      <c r="A77" s="2">
        <v>43314</v>
      </c>
      <c r="B77" t="s">
        <v>127</v>
      </c>
      <c r="C77">
        <v>961</v>
      </c>
      <c r="D77" t="s">
        <v>126</v>
      </c>
      <c r="E77">
        <v>2</v>
      </c>
      <c r="BK77">
        <v>415</v>
      </c>
      <c r="DW77">
        <v>0.04</v>
      </c>
      <c r="DX77">
        <v>90.9</v>
      </c>
      <c r="DY77">
        <v>44.7</v>
      </c>
      <c r="DZ77">
        <v>313.47000000000003</v>
      </c>
      <c r="EA77">
        <v>92</v>
      </c>
    </row>
    <row r="78" spans="1:131">
      <c r="A78" s="2">
        <v>43314</v>
      </c>
      <c r="B78" t="s">
        <v>127</v>
      </c>
      <c r="C78">
        <v>961</v>
      </c>
      <c r="D78" t="s">
        <v>126</v>
      </c>
      <c r="E78">
        <v>3</v>
      </c>
      <c r="BK78">
        <v>415</v>
      </c>
      <c r="DW78">
        <v>0.04</v>
      </c>
      <c r="DX78">
        <v>89.4</v>
      </c>
      <c r="DY78">
        <v>41.8</v>
      </c>
      <c r="DZ78">
        <v>251</v>
      </c>
      <c r="EA78">
        <v>91.3</v>
      </c>
    </row>
    <row r="79" spans="1:131">
      <c r="A79" s="2">
        <v>43314</v>
      </c>
      <c r="B79" t="s">
        <v>127</v>
      </c>
      <c r="C79">
        <v>961</v>
      </c>
      <c r="D79" t="s">
        <v>126</v>
      </c>
      <c r="E79">
        <v>4</v>
      </c>
      <c r="BK79">
        <v>415</v>
      </c>
      <c r="DW79">
        <v>0.04</v>
      </c>
      <c r="DX79">
        <v>92.3</v>
      </c>
      <c r="DY79">
        <v>43.9</v>
      </c>
      <c r="DZ79">
        <v>252.3</v>
      </c>
      <c r="EA79">
        <v>91.1</v>
      </c>
    </row>
    <row r="80" spans="1:131">
      <c r="A80" s="2">
        <v>43314</v>
      </c>
      <c r="B80" t="s">
        <v>127</v>
      </c>
      <c r="C80">
        <v>961</v>
      </c>
      <c r="D80" t="s">
        <v>126</v>
      </c>
      <c r="E80">
        <v>5</v>
      </c>
      <c r="BK80">
        <v>415</v>
      </c>
      <c r="DW80">
        <v>0.04</v>
      </c>
      <c r="DX80">
        <v>90.7</v>
      </c>
      <c r="DY80">
        <v>44.3</v>
      </c>
      <c r="DZ80">
        <v>297.44</v>
      </c>
      <c r="EA80">
        <v>94.1</v>
      </c>
    </row>
    <row r="81" spans="1:131">
      <c r="A81" s="2">
        <v>43314</v>
      </c>
      <c r="B81" t="s">
        <v>127</v>
      </c>
      <c r="C81">
        <v>961</v>
      </c>
      <c r="D81" t="s">
        <v>126</v>
      </c>
      <c r="E81">
        <v>6</v>
      </c>
      <c r="BK81">
        <v>415</v>
      </c>
      <c r="DW81">
        <v>0.04</v>
      </c>
      <c r="DX81">
        <v>90.3</v>
      </c>
      <c r="DY81">
        <v>43.6</v>
      </c>
      <c r="DZ81">
        <v>266.5</v>
      </c>
      <c r="EA81">
        <v>92.1</v>
      </c>
    </row>
    <row r="82" spans="1:131">
      <c r="A82" s="2">
        <v>43314</v>
      </c>
      <c r="B82" t="s">
        <v>127</v>
      </c>
      <c r="C82">
        <v>961</v>
      </c>
      <c r="D82" t="s">
        <v>126</v>
      </c>
      <c r="E82">
        <v>7</v>
      </c>
      <c r="BK82">
        <v>415</v>
      </c>
      <c r="DW82">
        <v>0.04</v>
      </c>
      <c r="DX82">
        <v>92.3</v>
      </c>
      <c r="DY82">
        <v>43.4</v>
      </c>
      <c r="DZ82">
        <v>246.38</v>
      </c>
      <c r="EA82">
        <v>91.2</v>
      </c>
    </row>
    <row r="83" spans="1:131">
      <c r="A83" s="2">
        <v>43314</v>
      </c>
      <c r="B83" t="s">
        <v>127</v>
      </c>
      <c r="C83">
        <v>961</v>
      </c>
      <c r="D83" t="s">
        <v>126</v>
      </c>
      <c r="E83">
        <v>8</v>
      </c>
      <c r="BK83">
        <v>415</v>
      </c>
      <c r="DW83">
        <v>0.04</v>
      </c>
      <c r="DX83">
        <v>90.7</v>
      </c>
      <c r="DY83">
        <v>44.1</v>
      </c>
      <c r="DZ83">
        <v>274.06</v>
      </c>
      <c r="EA83">
        <v>91.9</v>
      </c>
    </row>
    <row r="84" spans="1:131">
      <c r="A84" s="2">
        <v>43314</v>
      </c>
      <c r="B84" t="s">
        <v>127</v>
      </c>
      <c r="C84">
        <v>961</v>
      </c>
      <c r="D84" t="s">
        <v>126</v>
      </c>
      <c r="E84">
        <v>9</v>
      </c>
      <c r="BK84">
        <v>415</v>
      </c>
      <c r="DW84">
        <v>0.04</v>
      </c>
      <c r="DX84">
        <v>89.3</v>
      </c>
      <c r="DY84">
        <v>42.9</v>
      </c>
      <c r="DZ84">
        <v>277.49</v>
      </c>
      <c r="EA84">
        <v>91.7</v>
      </c>
    </row>
    <row r="85" spans="1:131">
      <c r="A85" s="2">
        <v>43314</v>
      </c>
      <c r="B85" t="s">
        <v>127</v>
      </c>
      <c r="C85">
        <v>961</v>
      </c>
      <c r="D85" t="s">
        <v>126</v>
      </c>
      <c r="E85">
        <v>10</v>
      </c>
      <c r="BK85">
        <v>415</v>
      </c>
      <c r="DW85">
        <v>0.04</v>
      </c>
      <c r="DX85">
        <v>87.5</v>
      </c>
      <c r="DY85">
        <v>44.2</v>
      </c>
      <c r="DZ85">
        <v>303.94</v>
      </c>
      <c r="EA85">
        <v>91.8</v>
      </c>
    </row>
    <row r="86" spans="1:131">
      <c r="A86" s="2">
        <v>43314</v>
      </c>
      <c r="B86" t="s">
        <v>127</v>
      </c>
      <c r="C86">
        <v>961</v>
      </c>
      <c r="D86" t="s">
        <v>126</v>
      </c>
      <c r="E86">
        <v>11</v>
      </c>
      <c r="BK86">
        <v>415</v>
      </c>
      <c r="DW86">
        <v>0.04</v>
      </c>
      <c r="DX86">
        <v>90.5</v>
      </c>
      <c r="DY86">
        <v>42.8</v>
      </c>
      <c r="DZ86">
        <v>276.38</v>
      </c>
      <c r="EA86">
        <v>90</v>
      </c>
    </row>
    <row r="87" spans="1:131">
      <c r="A87" s="2">
        <v>43314</v>
      </c>
      <c r="B87" t="s">
        <v>127</v>
      </c>
      <c r="C87">
        <v>961</v>
      </c>
      <c r="D87" t="s">
        <v>126</v>
      </c>
      <c r="E87">
        <v>12</v>
      </c>
      <c r="BK87">
        <v>415</v>
      </c>
      <c r="DW87">
        <v>0.04</v>
      </c>
      <c r="DX87">
        <v>87.6</v>
      </c>
      <c r="DY87">
        <v>42.9</v>
      </c>
      <c r="DZ87">
        <v>283.04000000000002</v>
      </c>
      <c r="EA87">
        <v>91</v>
      </c>
    </row>
    <row r="88" spans="1:131">
      <c r="A88" s="2">
        <v>43314</v>
      </c>
      <c r="B88" t="s">
        <v>127</v>
      </c>
      <c r="C88">
        <v>961</v>
      </c>
      <c r="D88" t="s">
        <v>126</v>
      </c>
      <c r="E88">
        <v>13</v>
      </c>
      <c r="BK88">
        <v>415</v>
      </c>
      <c r="DW88">
        <v>0.04</v>
      </c>
      <c r="DX88">
        <v>90.6</v>
      </c>
      <c r="DY88">
        <v>43.1</v>
      </c>
      <c r="DZ88">
        <v>271.8</v>
      </c>
      <c r="EA88">
        <v>92.1</v>
      </c>
    </row>
    <row r="89" spans="1:131">
      <c r="A89" s="2">
        <v>43361</v>
      </c>
      <c r="B89" t="s">
        <v>125</v>
      </c>
      <c r="C89">
        <v>108</v>
      </c>
      <c r="D89" t="s">
        <v>129</v>
      </c>
      <c r="E89">
        <v>20</v>
      </c>
      <c r="BK89">
        <v>350</v>
      </c>
      <c r="DW89">
        <v>0.04</v>
      </c>
      <c r="DX89">
        <v>88</v>
      </c>
      <c r="DY89">
        <v>41.3</v>
      </c>
      <c r="DZ89">
        <v>280.82</v>
      </c>
      <c r="EA89">
        <v>91.3</v>
      </c>
    </row>
    <row r="90" spans="1:131">
      <c r="A90" s="2">
        <v>43365</v>
      </c>
      <c r="B90" t="s">
        <v>125</v>
      </c>
      <c r="C90">
        <v>108</v>
      </c>
      <c r="D90" t="s">
        <v>129</v>
      </c>
      <c r="E90">
        <v>11</v>
      </c>
      <c r="BK90">
        <v>345</v>
      </c>
      <c r="DW90">
        <v>0.04</v>
      </c>
      <c r="DX90">
        <v>90.4</v>
      </c>
      <c r="DY90">
        <v>39.799999999999997</v>
      </c>
      <c r="DZ90">
        <v>217.11</v>
      </c>
      <c r="EA90">
        <v>83</v>
      </c>
    </row>
    <row r="91" spans="1:131">
      <c r="A91" s="2">
        <v>43365</v>
      </c>
      <c r="B91" t="s">
        <v>125</v>
      </c>
      <c r="C91">
        <v>108</v>
      </c>
      <c r="D91" t="s">
        <v>129</v>
      </c>
      <c r="E91">
        <v>12</v>
      </c>
      <c r="BK91">
        <v>345</v>
      </c>
      <c r="DW91">
        <v>0.04</v>
      </c>
      <c r="DX91">
        <v>89.1</v>
      </c>
      <c r="DY91">
        <v>39.9</v>
      </c>
      <c r="DZ91">
        <v>257.11</v>
      </c>
      <c r="EA91">
        <v>83.7</v>
      </c>
    </row>
    <row r="92" spans="1:131">
      <c r="A92" s="2">
        <v>43365</v>
      </c>
      <c r="B92" t="s">
        <v>125</v>
      </c>
      <c r="C92">
        <v>108</v>
      </c>
      <c r="D92" t="s">
        <v>129</v>
      </c>
      <c r="E92">
        <v>13</v>
      </c>
      <c r="BK92">
        <v>345</v>
      </c>
      <c r="DW92">
        <v>0.04</v>
      </c>
      <c r="DX92">
        <v>93</v>
      </c>
      <c r="DY92">
        <v>39.700000000000003</v>
      </c>
      <c r="DZ92">
        <v>212.25</v>
      </c>
      <c r="EA92">
        <v>86.5</v>
      </c>
    </row>
    <row r="93" spans="1:131">
      <c r="A93" s="2">
        <v>43365</v>
      </c>
      <c r="B93" t="s">
        <v>125</v>
      </c>
      <c r="C93">
        <v>108</v>
      </c>
      <c r="D93" t="s">
        <v>129</v>
      </c>
      <c r="E93">
        <v>14</v>
      </c>
      <c r="BK93">
        <v>345</v>
      </c>
      <c r="DW93">
        <v>0.04</v>
      </c>
      <c r="DX93">
        <v>89.8</v>
      </c>
      <c r="DY93">
        <v>41.3</v>
      </c>
      <c r="DZ93">
        <v>261.19</v>
      </c>
      <c r="EA93">
        <v>85</v>
      </c>
    </row>
    <row r="94" spans="1:131">
      <c r="A94" s="2">
        <v>43365</v>
      </c>
      <c r="B94" t="s">
        <v>125</v>
      </c>
      <c r="C94">
        <v>108</v>
      </c>
      <c r="D94" t="s">
        <v>129</v>
      </c>
      <c r="E94">
        <v>15</v>
      </c>
      <c r="BK94">
        <v>345</v>
      </c>
      <c r="DW94">
        <v>0.04</v>
      </c>
      <c r="DX94">
        <v>90.4</v>
      </c>
      <c r="DY94">
        <v>38.9</v>
      </c>
      <c r="DZ94">
        <v>254.21</v>
      </c>
      <c r="EA94">
        <v>84.6</v>
      </c>
    </row>
    <row r="95" spans="1:131">
      <c r="A95" s="2">
        <v>43365</v>
      </c>
      <c r="B95" t="s">
        <v>125</v>
      </c>
      <c r="C95">
        <v>108</v>
      </c>
      <c r="D95" t="s">
        <v>129</v>
      </c>
      <c r="E95">
        <v>16</v>
      </c>
      <c r="BK95">
        <v>345</v>
      </c>
      <c r="DW95">
        <v>0.04</v>
      </c>
      <c r="DX95">
        <v>91.9</v>
      </c>
      <c r="DY95">
        <v>39.799999999999997</v>
      </c>
      <c r="DZ95">
        <v>224.76</v>
      </c>
      <c r="EA95">
        <v>84.8</v>
      </c>
    </row>
    <row r="96" spans="1:131">
      <c r="A96" s="2">
        <v>43365</v>
      </c>
      <c r="B96" t="s">
        <v>125</v>
      </c>
      <c r="C96">
        <v>108</v>
      </c>
      <c r="D96" t="s">
        <v>129</v>
      </c>
      <c r="E96">
        <v>17</v>
      </c>
      <c r="BK96">
        <v>345</v>
      </c>
      <c r="DW96">
        <v>0.04</v>
      </c>
      <c r="DX96">
        <v>87.3</v>
      </c>
      <c r="DY96">
        <v>40.1</v>
      </c>
      <c r="DZ96">
        <v>266.02999999999997</v>
      </c>
      <c r="EA96">
        <v>84.9</v>
      </c>
    </row>
    <row r="97" spans="1:131">
      <c r="A97" s="2">
        <v>43365</v>
      </c>
      <c r="B97" t="s">
        <v>125</v>
      </c>
      <c r="C97">
        <v>108</v>
      </c>
      <c r="D97" t="s">
        <v>129</v>
      </c>
      <c r="E97">
        <v>18</v>
      </c>
      <c r="BK97">
        <v>345</v>
      </c>
      <c r="DW97">
        <v>0.04</v>
      </c>
      <c r="DX97">
        <v>87.1</v>
      </c>
      <c r="DY97">
        <v>39.299999999999997</v>
      </c>
      <c r="DZ97">
        <v>257.7</v>
      </c>
      <c r="EA97">
        <v>84.8</v>
      </c>
    </row>
    <row r="98" spans="1:131">
      <c r="A98" s="2">
        <v>43365</v>
      </c>
      <c r="B98" t="s">
        <v>125</v>
      </c>
      <c r="C98">
        <v>108</v>
      </c>
      <c r="D98" t="s">
        <v>129</v>
      </c>
      <c r="E98">
        <v>19</v>
      </c>
      <c r="BK98">
        <v>345</v>
      </c>
      <c r="DW98">
        <v>0.04</v>
      </c>
      <c r="DX98">
        <v>90.6</v>
      </c>
      <c r="DY98">
        <v>39.799999999999997</v>
      </c>
      <c r="DZ98">
        <v>247.95</v>
      </c>
      <c r="EA98">
        <v>84</v>
      </c>
    </row>
    <row r="99" spans="1:131">
      <c r="A99" s="2">
        <v>43365</v>
      </c>
      <c r="B99" t="s">
        <v>125</v>
      </c>
      <c r="C99">
        <v>108</v>
      </c>
      <c r="D99" t="s">
        <v>129</v>
      </c>
      <c r="E99">
        <v>20</v>
      </c>
      <c r="BK99">
        <v>345</v>
      </c>
      <c r="DW99">
        <v>0.04</v>
      </c>
      <c r="DX99">
        <v>90.3</v>
      </c>
      <c r="DY99">
        <v>39.6</v>
      </c>
      <c r="DZ99">
        <v>235.76</v>
      </c>
      <c r="EA99">
        <v>86.6</v>
      </c>
    </row>
    <row r="100" spans="1:131">
      <c r="A100" s="2">
        <v>43365</v>
      </c>
      <c r="B100" t="s">
        <v>125</v>
      </c>
      <c r="C100">
        <v>961</v>
      </c>
      <c r="D100" t="s">
        <v>126</v>
      </c>
      <c r="E100">
        <v>7</v>
      </c>
      <c r="BK100">
        <v>430</v>
      </c>
      <c r="DW100">
        <v>0.04</v>
      </c>
      <c r="DX100">
        <v>90.3</v>
      </c>
      <c r="DY100">
        <v>43.5</v>
      </c>
      <c r="DZ100">
        <v>277.57</v>
      </c>
      <c r="EA100">
        <v>91.3</v>
      </c>
    </row>
    <row r="101" spans="1:131">
      <c r="A101" s="2">
        <v>43365</v>
      </c>
      <c r="B101" t="s">
        <v>125</v>
      </c>
      <c r="C101">
        <v>961</v>
      </c>
      <c r="D101" t="s">
        <v>126</v>
      </c>
      <c r="E101">
        <v>8</v>
      </c>
      <c r="BK101">
        <v>430</v>
      </c>
      <c r="DW101">
        <v>0.04</v>
      </c>
      <c r="DX101">
        <v>91</v>
      </c>
      <c r="DY101">
        <v>42.8</v>
      </c>
      <c r="DZ101">
        <v>238.77</v>
      </c>
      <c r="EA101">
        <v>91.9</v>
      </c>
    </row>
    <row r="102" spans="1:131">
      <c r="A102" s="2">
        <v>43365</v>
      </c>
      <c r="B102" t="s">
        <v>125</v>
      </c>
      <c r="C102">
        <v>961</v>
      </c>
      <c r="D102" t="s">
        <v>126</v>
      </c>
      <c r="E102">
        <v>9</v>
      </c>
      <c r="BK102">
        <v>430</v>
      </c>
      <c r="DW102">
        <v>0.04</v>
      </c>
      <c r="DX102">
        <v>87.7</v>
      </c>
      <c r="DY102">
        <v>40.799999999999997</v>
      </c>
      <c r="DZ102">
        <v>268.51</v>
      </c>
      <c r="EA102">
        <v>92.9</v>
      </c>
    </row>
    <row r="103" spans="1:131">
      <c r="A103" s="2">
        <v>43371</v>
      </c>
      <c r="B103" t="s">
        <v>125</v>
      </c>
      <c r="C103">
        <v>961</v>
      </c>
      <c r="D103" t="s">
        <v>126</v>
      </c>
      <c r="E103">
        <v>36</v>
      </c>
      <c r="BK103">
        <v>445</v>
      </c>
      <c r="DW103">
        <v>0.04</v>
      </c>
      <c r="DX103">
        <v>91.4</v>
      </c>
      <c r="DY103">
        <v>42.7</v>
      </c>
      <c r="DZ103">
        <v>276.82</v>
      </c>
      <c r="EA103">
        <v>92.8</v>
      </c>
    </row>
    <row r="104" spans="1:131">
      <c r="A104" s="2">
        <v>43371</v>
      </c>
      <c r="B104" t="s">
        <v>125</v>
      </c>
      <c r="C104">
        <v>961</v>
      </c>
      <c r="D104" t="s">
        <v>126</v>
      </c>
      <c r="E104">
        <v>37</v>
      </c>
      <c r="BK104">
        <v>445</v>
      </c>
      <c r="DW104">
        <v>0.04</v>
      </c>
      <c r="DX104">
        <v>92.5</v>
      </c>
      <c r="DY104">
        <v>43.4</v>
      </c>
      <c r="DZ104">
        <v>256.68</v>
      </c>
      <c r="EA104">
        <v>92.5</v>
      </c>
    </row>
    <row r="105" spans="1:131">
      <c r="A105" s="2">
        <v>43371</v>
      </c>
      <c r="B105" t="s">
        <v>125</v>
      </c>
      <c r="C105">
        <v>961</v>
      </c>
      <c r="D105" t="s">
        <v>126</v>
      </c>
      <c r="E105">
        <v>38</v>
      </c>
      <c r="BK105">
        <v>445</v>
      </c>
      <c r="DW105">
        <v>0.04</v>
      </c>
      <c r="DX105">
        <v>93</v>
      </c>
      <c r="DY105">
        <v>42.9</v>
      </c>
      <c r="DZ105">
        <v>258.01</v>
      </c>
      <c r="EA105">
        <v>92.3</v>
      </c>
    </row>
    <row r="106" spans="1:131">
      <c r="A106" s="2">
        <v>43371</v>
      </c>
      <c r="B106" t="s">
        <v>125</v>
      </c>
      <c r="C106">
        <v>961</v>
      </c>
      <c r="D106" t="s">
        <v>126</v>
      </c>
      <c r="E106">
        <v>39</v>
      </c>
      <c r="BK106">
        <v>445</v>
      </c>
      <c r="DW106">
        <v>0.04</v>
      </c>
      <c r="DX106">
        <v>93</v>
      </c>
      <c r="DY106">
        <v>43</v>
      </c>
      <c r="DZ106">
        <v>266.58</v>
      </c>
      <c r="EA106">
        <v>93.2</v>
      </c>
    </row>
    <row r="107" spans="1:131">
      <c r="A107" s="2">
        <v>43371</v>
      </c>
      <c r="B107" t="s">
        <v>125</v>
      </c>
      <c r="C107">
        <v>961</v>
      </c>
      <c r="D107" t="s">
        <v>126</v>
      </c>
      <c r="E107">
        <v>40</v>
      </c>
      <c r="BK107">
        <v>445</v>
      </c>
      <c r="DW107">
        <v>0.04</v>
      </c>
      <c r="DX107">
        <v>92.1</v>
      </c>
      <c r="DY107">
        <v>42.3</v>
      </c>
      <c r="DZ107">
        <v>266.95999999999998</v>
      </c>
      <c r="EA107">
        <v>92.2</v>
      </c>
    </row>
    <row r="108" spans="1:131">
      <c r="A108" s="2">
        <v>43371</v>
      </c>
      <c r="B108" t="s">
        <v>125</v>
      </c>
      <c r="C108">
        <v>961</v>
      </c>
      <c r="D108" t="s">
        <v>126</v>
      </c>
      <c r="E108">
        <v>41</v>
      </c>
      <c r="BK108">
        <v>445</v>
      </c>
      <c r="DW108">
        <v>0.04</v>
      </c>
      <c r="DX108">
        <v>93</v>
      </c>
      <c r="DY108">
        <v>44</v>
      </c>
      <c r="DZ108">
        <v>269.7</v>
      </c>
      <c r="EA108">
        <v>92.5</v>
      </c>
    </row>
    <row r="109" spans="1:131">
      <c r="A109" s="2">
        <v>43371</v>
      </c>
      <c r="B109" t="s">
        <v>125</v>
      </c>
      <c r="C109">
        <v>961</v>
      </c>
      <c r="D109" t="s">
        <v>126</v>
      </c>
      <c r="E109">
        <v>42</v>
      </c>
      <c r="BK109">
        <v>445</v>
      </c>
      <c r="DW109">
        <v>0.04</v>
      </c>
      <c r="DX109">
        <v>91.6</v>
      </c>
      <c r="DY109">
        <v>42.4</v>
      </c>
      <c r="DZ109">
        <v>278.63</v>
      </c>
      <c r="EA109">
        <v>92.7</v>
      </c>
    </row>
    <row r="110" spans="1:131">
      <c r="A110" s="2">
        <v>43371</v>
      </c>
      <c r="B110" t="s">
        <v>125</v>
      </c>
      <c r="C110">
        <v>961</v>
      </c>
      <c r="D110" t="s">
        <v>126</v>
      </c>
      <c r="E110">
        <v>43</v>
      </c>
      <c r="BK110">
        <v>445</v>
      </c>
      <c r="DW110">
        <v>0.04</v>
      </c>
      <c r="DX110">
        <v>92.8</v>
      </c>
      <c r="DY110">
        <v>44.3</v>
      </c>
      <c r="DZ110">
        <v>295.89999999999998</v>
      </c>
      <c r="EA110">
        <v>92.2</v>
      </c>
    </row>
    <row r="111" spans="1:131">
      <c r="A111" s="2">
        <v>43371</v>
      </c>
      <c r="B111" t="s">
        <v>125</v>
      </c>
      <c r="C111">
        <v>961</v>
      </c>
      <c r="D111" t="s">
        <v>126</v>
      </c>
      <c r="E111">
        <v>44</v>
      </c>
      <c r="BK111">
        <v>445</v>
      </c>
      <c r="DW111">
        <v>0.04</v>
      </c>
      <c r="DX111">
        <v>93</v>
      </c>
      <c r="DY111">
        <v>43.6</v>
      </c>
      <c r="DZ111">
        <v>292.94</v>
      </c>
      <c r="EA111">
        <v>92.4</v>
      </c>
    </row>
    <row r="112" spans="1:131">
      <c r="A112" s="2">
        <v>43371</v>
      </c>
      <c r="B112" t="s">
        <v>127</v>
      </c>
      <c r="C112">
        <v>961</v>
      </c>
      <c r="D112" t="s">
        <v>126</v>
      </c>
      <c r="E112">
        <v>45</v>
      </c>
      <c r="BK112">
        <v>454</v>
      </c>
      <c r="DW112">
        <v>0.04</v>
      </c>
      <c r="DX112">
        <v>92.9</v>
      </c>
      <c r="DY112">
        <v>43.8</v>
      </c>
      <c r="DZ112">
        <v>260.42</v>
      </c>
      <c r="EA112">
        <v>91.9</v>
      </c>
    </row>
    <row r="113" spans="1:131">
      <c r="A113" s="2">
        <v>43391</v>
      </c>
      <c r="B113" t="s">
        <v>125</v>
      </c>
      <c r="C113">
        <v>108</v>
      </c>
      <c r="D113" t="s">
        <v>129</v>
      </c>
      <c r="E113">
        <v>1</v>
      </c>
      <c r="BK113">
        <v>380</v>
      </c>
      <c r="DW113">
        <v>0.04</v>
      </c>
      <c r="DX113">
        <v>93</v>
      </c>
      <c r="DY113">
        <v>42.7</v>
      </c>
      <c r="DZ113">
        <v>285.14999999999998</v>
      </c>
      <c r="EA113">
        <v>90.3</v>
      </c>
    </row>
    <row r="114" spans="1:131">
      <c r="A114" s="2">
        <v>43391</v>
      </c>
      <c r="B114" t="s">
        <v>125</v>
      </c>
      <c r="C114">
        <v>108</v>
      </c>
      <c r="D114" t="s">
        <v>129</v>
      </c>
      <c r="E114">
        <v>2</v>
      </c>
      <c r="BK114">
        <v>380</v>
      </c>
      <c r="DW114">
        <v>0.04</v>
      </c>
      <c r="DX114">
        <v>93</v>
      </c>
      <c r="DY114">
        <v>41.1</v>
      </c>
      <c r="DZ114">
        <v>252.78</v>
      </c>
      <c r="EA114">
        <v>91.2</v>
      </c>
    </row>
    <row r="115" spans="1:131">
      <c r="A115" s="2">
        <v>43393</v>
      </c>
      <c r="B115" t="s">
        <v>125</v>
      </c>
      <c r="C115">
        <v>692</v>
      </c>
      <c r="D115" t="s">
        <v>129</v>
      </c>
      <c r="E115">
        <v>77</v>
      </c>
      <c r="BK115">
        <v>370</v>
      </c>
      <c r="DW115">
        <v>0.04</v>
      </c>
      <c r="DX115">
        <v>90.3</v>
      </c>
      <c r="DY115">
        <v>43</v>
      </c>
      <c r="DZ115">
        <v>285.77</v>
      </c>
      <c r="EA115">
        <v>93.6</v>
      </c>
    </row>
    <row r="116" spans="1:131">
      <c r="A116" s="2">
        <v>43393</v>
      </c>
      <c r="B116" t="s">
        <v>125</v>
      </c>
      <c r="C116">
        <v>692</v>
      </c>
      <c r="D116" t="s">
        <v>129</v>
      </c>
      <c r="E116">
        <v>78</v>
      </c>
      <c r="BK116">
        <v>370</v>
      </c>
      <c r="DW116">
        <v>0.04</v>
      </c>
      <c r="DX116">
        <v>87.7</v>
      </c>
      <c r="DY116">
        <v>41.3</v>
      </c>
      <c r="DZ116">
        <v>293.20999999999998</v>
      </c>
      <c r="EA116">
        <v>94</v>
      </c>
    </row>
    <row r="117" spans="1:131">
      <c r="A117" s="2">
        <v>43393</v>
      </c>
      <c r="B117" t="s">
        <v>125</v>
      </c>
      <c r="C117">
        <v>692</v>
      </c>
      <c r="D117" t="s">
        <v>129</v>
      </c>
      <c r="E117">
        <v>79</v>
      </c>
      <c r="BK117">
        <v>370</v>
      </c>
      <c r="DW117">
        <v>0.04</v>
      </c>
      <c r="DX117">
        <v>88.5</v>
      </c>
      <c r="DY117">
        <v>42.7</v>
      </c>
      <c r="DZ117">
        <v>310.77</v>
      </c>
      <c r="EA117">
        <v>91.3</v>
      </c>
    </row>
    <row r="118" spans="1:131">
      <c r="A118" s="2">
        <v>43393</v>
      </c>
      <c r="B118" t="s">
        <v>125</v>
      </c>
      <c r="C118">
        <v>692</v>
      </c>
      <c r="D118" t="s">
        <v>129</v>
      </c>
      <c r="E118">
        <v>80</v>
      </c>
      <c r="BK118">
        <v>370</v>
      </c>
      <c r="DW118">
        <v>0.04</v>
      </c>
      <c r="DX118">
        <v>93</v>
      </c>
      <c r="DY118">
        <v>40.9</v>
      </c>
      <c r="DZ118">
        <v>261.55</v>
      </c>
      <c r="EA118">
        <v>89.8</v>
      </c>
    </row>
    <row r="119" spans="1:131">
      <c r="A119" s="2">
        <v>43394</v>
      </c>
      <c r="B119" t="s">
        <v>127</v>
      </c>
      <c r="C119">
        <v>490</v>
      </c>
      <c r="D119" t="s">
        <v>130</v>
      </c>
      <c r="E119">
        <v>1</v>
      </c>
      <c r="BK119">
        <v>450</v>
      </c>
      <c r="DW119">
        <v>0.04</v>
      </c>
      <c r="DX119">
        <v>90.4</v>
      </c>
      <c r="DY119">
        <v>45.7</v>
      </c>
      <c r="DZ119">
        <v>237.25</v>
      </c>
      <c r="EA119">
        <v>96.1</v>
      </c>
    </row>
    <row r="120" spans="1:131">
      <c r="A120" s="2">
        <v>43394</v>
      </c>
      <c r="B120" t="s">
        <v>127</v>
      </c>
      <c r="C120">
        <v>490</v>
      </c>
      <c r="D120" t="s">
        <v>130</v>
      </c>
      <c r="E120">
        <v>2</v>
      </c>
      <c r="BK120">
        <v>450</v>
      </c>
      <c r="DW120">
        <v>0.04</v>
      </c>
      <c r="DX120">
        <v>92.9</v>
      </c>
      <c r="DY120">
        <v>45.1</v>
      </c>
      <c r="DZ120">
        <v>243.6</v>
      </c>
      <c r="EA120">
        <v>97.6</v>
      </c>
    </row>
    <row r="121" spans="1:131">
      <c r="A121" s="2">
        <v>43394</v>
      </c>
      <c r="B121" t="s">
        <v>127</v>
      </c>
      <c r="C121">
        <v>490</v>
      </c>
      <c r="D121" t="s">
        <v>130</v>
      </c>
      <c r="E121">
        <v>3</v>
      </c>
      <c r="BK121">
        <v>450</v>
      </c>
      <c r="DW121">
        <v>0.04</v>
      </c>
      <c r="DX121">
        <v>93</v>
      </c>
      <c r="DY121">
        <v>45.6</v>
      </c>
      <c r="DZ121">
        <v>226.28</v>
      </c>
      <c r="EA121">
        <v>96.8</v>
      </c>
    </row>
    <row r="122" spans="1:131">
      <c r="A122" s="2">
        <v>43394</v>
      </c>
      <c r="B122" t="s">
        <v>127</v>
      </c>
      <c r="C122">
        <v>490</v>
      </c>
      <c r="D122" t="s">
        <v>130</v>
      </c>
      <c r="E122">
        <v>4</v>
      </c>
      <c r="BK122">
        <v>450</v>
      </c>
      <c r="DW122">
        <v>0.04</v>
      </c>
      <c r="DX122">
        <v>91.3</v>
      </c>
      <c r="DY122">
        <v>43.6</v>
      </c>
      <c r="DZ122">
        <v>225.64</v>
      </c>
      <c r="EA122">
        <v>97</v>
      </c>
    </row>
    <row r="123" spans="1:131">
      <c r="A123" s="2">
        <v>43394</v>
      </c>
      <c r="B123" t="s">
        <v>127</v>
      </c>
      <c r="C123">
        <v>490</v>
      </c>
      <c r="D123" t="s">
        <v>130</v>
      </c>
      <c r="E123">
        <v>5</v>
      </c>
      <c r="BK123">
        <v>450</v>
      </c>
      <c r="DW123">
        <v>0.04</v>
      </c>
      <c r="DX123">
        <v>93</v>
      </c>
      <c r="DY123">
        <v>44</v>
      </c>
      <c r="DZ123">
        <v>217.73</v>
      </c>
      <c r="EA123">
        <v>96.8</v>
      </c>
    </row>
    <row r="124" spans="1:131">
      <c r="A124" s="2">
        <v>43394</v>
      </c>
      <c r="B124" t="s">
        <v>127</v>
      </c>
      <c r="C124">
        <v>490</v>
      </c>
      <c r="D124" t="s">
        <v>130</v>
      </c>
      <c r="E124">
        <v>6</v>
      </c>
      <c r="BK124">
        <v>450</v>
      </c>
      <c r="DW124">
        <v>0.04</v>
      </c>
      <c r="DX124">
        <v>93</v>
      </c>
      <c r="DY124">
        <v>44.7</v>
      </c>
      <c r="DZ124">
        <v>223.17</v>
      </c>
      <c r="EA124">
        <v>96.8</v>
      </c>
    </row>
    <row r="125" spans="1:131">
      <c r="A125" s="2">
        <v>43394</v>
      </c>
      <c r="B125" t="s">
        <v>127</v>
      </c>
      <c r="C125">
        <v>490</v>
      </c>
      <c r="D125" t="s">
        <v>130</v>
      </c>
      <c r="E125">
        <v>7</v>
      </c>
      <c r="BK125">
        <v>450</v>
      </c>
      <c r="DW125">
        <v>0.04</v>
      </c>
      <c r="DX125">
        <v>89.4</v>
      </c>
      <c r="DY125">
        <v>42.5</v>
      </c>
      <c r="DZ125">
        <v>214.69</v>
      </c>
      <c r="EA125">
        <v>93.4</v>
      </c>
    </row>
    <row r="126" spans="1:131">
      <c r="A126" s="2">
        <v>43394</v>
      </c>
      <c r="B126" t="s">
        <v>127</v>
      </c>
      <c r="C126">
        <v>490</v>
      </c>
      <c r="D126" t="s">
        <v>130</v>
      </c>
      <c r="E126">
        <v>8</v>
      </c>
      <c r="BK126">
        <v>450</v>
      </c>
      <c r="DW126">
        <v>0.04</v>
      </c>
      <c r="DX126">
        <v>90.3</v>
      </c>
      <c r="DY126">
        <v>42.7</v>
      </c>
      <c r="DZ126">
        <v>199.53</v>
      </c>
      <c r="EA126">
        <v>95.4</v>
      </c>
    </row>
    <row r="127" spans="1:131">
      <c r="A127" s="2">
        <v>43394</v>
      </c>
      <c r="B127" t="s">
        <v>127</v>
      </c>
      <c r="C127">
        <v>490</v>
      </c>
      <c r="D127" t="s">
        <v>130</v>
      </c>
      <c r="E127">
        <v>9</v>
      </c>
      <c r="BK127">
        <v>450</v>
      </c>
      <c r="DW127">
        <v>0.04</v>
      </c>
      <c r="DX127">
        <v>91.9</v>
      </c>
      <c r="DY127">
        <v>44.8</v>
      </c>
      <c r="DZ127">
        <v>232.38</v>
      </c>
      <c r="EA127">
        <v>95.7</v>
      </c>
    </row>
    <row r="128" spans="1:131">
      <c r="A128" s="2">
        <v>43394</v>
      </c>
      <c r="B128" t="s">
        <v>127</v>
      </c>
      <c r="C128">
        <v>490</v>
      </c>
      <c r="D128" t="s">
        <v>130</v>
      </c>
      <c r="E128">
        <v>10</v>
      </c>
      <c r="BK128">
        <v>450</v>
      </c>
      <c r="DW128">
        <v>0.04</v>
      </c>
      <c r="DX128">
        <v>92.6</v>
      </c>
      <c r="DY128">
        <v>44.5</v>
      </c>
      <c r="DZ128">
        <v>227.15</v>
      </c>
      <c r="EA128">
        <v>96.6</v>
      </c>
    </row>
    <row r="129" spans="1:131">
      <c r="A129" s="2">
        <v>43397</v>
      </c>
      <c r="B129" t="s">
        <v>127</v>
      </c>
      <c r="C129">
        <v>950</v>
      </c>
      <c r="D129" t="s">
        <v>128</v>
      </c>
      <c r="E129">
        <v>1</v>
      </c>
      <c r="BK129">
        <v>224</v>
      </c>
      <c r="DW129">
        <v>0.04</v>
      </c>
      <c r="DX129">
        <v>61.8</v>
      </c>
      <c r="DY129">
        <v>26.9</v>
      </c>
      <c r="DZ129">
        <v>141.4</v>
      </c>
      <c r="EA129">
        <v>85.9</v>
      </c>
    </row>
    <row r="130" spans="1:131">
      <c r="A130" s="2">
        <v>43397</v>
      </c>
      <c r="B130" t="s">
        <v>127</v>
      </c>
      <c r="C130">
        <v>950</v>
      </c>
      <c r="D130" t="s">
        <v>128</v>
      </c>
      <c r="E130">
        <v>2</v>
      </c>
      <c r="BK130">
        <v>224</v>
      </c>
      <c r="DW130">
        <v>0.04</v>
      </c>
      <c r="DX130">
        <v>61.9</v>
      </c>
      <c r="DY130">
        <v>28.4</v>
      </c>
      <c r="DZ130">
        <v>150.46</v>
      </c>
      <c r="EA130">
        <v>85.5</v>
      </c>
    </row>
    <row r="131" spans="1:131">
      <c r="A131" s="2">
        <v>43397</v>
      </c>
      <c r="B131" t="s">
        <v>127</v>
      </c>
      <c r="C131">
        <v>950</v>
      </c>
      <c r="D131" t="s">
        <v>128</v>
      </c>
      <c r="E131">
        <v>3</v>
      </c>
      <c r="BK131">
        <v>224</v>
      </c>
      <c r="DW131">
        <v>0.04</v>
      </c>
      <c r="DX131">
        <v>61.6</v>
      </c>
      <c r="DY131">
        <v>27</v>
      </c>
      <c r="DZ131">
        <v>128.1</v>
      </c>
      <c r="EA131">
        <v>93.1</v>
      </c>
    </row>
    <row r="132" spans="1:131">
      <c r="A132" s="2">
        <v>43397</v>
      </c>
      <c r="B132" t="s">
        <v>127</v>
      </c>
      <c r="C132">
        <v>950</v>
      </c>
      <c r="D132" t="s">
        <v>128</v>
      </c>
      <c r="E132">
        <v>4</v>
      </c>
      <c r="BK132">
        <v>224</v>
      </c>
      <c r="DW132">
        <v>0.04</v>
      </c>
      <c r="DX132">
        <v>62</v>
      </c>
      <c r="DY132">
        <v>26.4</v>
      </c>
      <c r="DZ132">
        <v>136.57</v>
      </c>
      <c r="EA132">
        <v>83.8</v>
      </c>
    </row>
    <row r="133" spans="1:131">
      <c r="A133" s="2">
        <v>43397</v>
      </c>
      <c r="B133" t="s">
        <v>127</v>
      </c>
      <c r="C133">
        <v>950</v>
      </c>
      <c r="D133" t="s">
        <v>128</v>
      </c>
      <c r="E133">
        <v>5</v>
      </c>
      <c r="BK133">
        <v>224</v>
      </c>
      <c r="DW133">
        <v>0.04</v>
      </c>
      <c r="DX133">
        <v>60.5</v>
      </c>
      <c r="DY133">
        <v>27.1</v>
      </c>
      <c r="DZ133">
        <v>150.43</v>
      </c>
      <c r="EA133">
        <v>83.5</v>
      </c>
    </row>
    <row r="134" spans="1:131">
      <c r="A134" s="2">
        <v>43397</v>
      </c>
      <c r="B134" t="s">
        <v>127</v>
      </c>
      <c r="C134">
        <v>950</v>
      </c>
      <c r="D134" t="s">
        <v>128</v>
      </c>
      <c r="E134">
        <v>6</v>
      </c>
      <c r="BK134">
        <v>224</v>
      </c>
      <c r="DW134">
        <v>0.04</v>
      </c>
      <c r="DX134">
        <v>61.1</v>
      </c>
      <c r="DY134">
        <v>27.1</v>
      </c>
      <c r="DZ134">
        <v>150.07</v>
      </c>
      <c r="EA134">
        <v>83.5</v>
      </c>
    </row>
    <row r="135" spans="1:131">
      <c r="A135" s="2">
        <v>43397</v>
      </c>
      <c r="B135" t="s">
        <v>127</v>
      </c>
      <c r="C135">
        <v>950</v>
      </c>
      <c r="D135" t="s">
        <v>128</v>
      </c>
      <c r="E135">
        <v>7</v>
      </c>
      <c r="BK135">
        <v>224</v>
      </c>
      <c r="DW135">
        <v>0.04</v>
      </c>
      <c r="DX135">
        <v>60.9</v>
      </c>
      <c r="DY135">
        <v>26.6</v>
      </c>
      <c r="DZ135">
        <v>137.02000000000001</v>
      </c>
      <c r="EA135">
        <v>85.3</v>
      </c>
    </row>
    <row r="136" spans="1:131">
      <c r="A136" s="2">
        <v>43397</v>
      </c>
      <c r="B136" t="s">
        <v>125</v>
      </c>
      <c r="C136">
        <v>950</v>
      </c>
      <c r="D136" t="s">
        <v>128</v>
      </c>
      <c r="E136">
        <v>8</v>
      </c>
      <c r="BK136">
        <v>222</v>
      </c>
      <c r="DW136">
        <v>0.04</v>
      </c>
      <c r="DX136">
        <v>59.2</v>
      </c>
      <c r="DY136">
        <v>26.3</v>
      </c>
      <c r="DZ136">
        <v>140.68</v>
      </c>
      <c r="EA136">
        <v>86.3</v>
      </c>
    </row>
    <row r="137" spans="1:131">
      <c r="A137" s="2">
        <v>43401</v>
      </c>
      <c r="B137" t="s">
        <v>127</v>
      </c>
      <c r="C137">
        <v>704</v>
      </c>
      <c r="D137" t="s">
        <v>131</v>
      </c>
      <c r="E137">
        <v>6</v>
      </c>
      <c r="BK137">
        <v>230</v>
      </c>
      <c r="DW137">
        <v>0.04</v>
      </c>
      <c r="DX137">
        <v>61.5</v>
      </c>
      <c r="DY137">
        <v>27.7</v>
      </c>
      <c r="DZ137">
        <v>159.63</v>
      </c>
      <c r="EA137">
        <v>42.2</v>
      </c>
    </row>
    <row r="138" spans="1:131">
      <c r="A138" s="2">
        <v>43401</v>
      </c>
      <c r="B138" t="s">
        <v>127</v>
      </c>
      <c r="C138">
        <v>704</v>
      </c>
      <c r="D138" t="s">
        <v>131</v>
      </c>
      <c r="E138">
        <v>7</v>
      </c>
      <c r="BK138">
        <v>230</v>
      </c>
      <c r="DW138">
        <v>0.04</v>
      </c>
      <c r="DX138">
        <v>59.6</v>
      </c>
      <c r="DY138">
        <v>27.1</v>
      </c>
      <c r="DZ138">
        <v>160</v>
      </c>
      <c r="EA138">
        <v>44.5</v>
      </c>
    </row>
    <row r="139" spans="1:131">
      <c r="A139" s="2">
        <v>43401</v>
      </c>
      <c r="B139" t="s">
        <v>127</v>
      </c>
      <c r="C139">
        <v>704</v>
      </c>
      <c r="D139" t="s">
        <v>131</v>
      </c>
      <c r="E139">
        <v>8</v>
      </c>
      <c r="BK139">
        <v>230</v>
      </c>
      <c r="DW139">
        <v>0.04</v>
      </c>
      <c r="DX139">
        <v>57.1</v>
      </c>
      <c r="DY139">
        <v>27.2</v>
      </c>
      <c r="DZ139">
        <v>155.47</v>
      </c>
      <c r="EA139">
        <v>44.2</v>
      </c>
    </row>
    <row r="140" spans="1:131">
      <c r="A140" s="2">
        <v>43401</v>
      </c>
      <c r="B140" t="s">
        <v>127</v>
      </c>
      <c r="C140">
        <v>704</v>
      </c>
      <c r="D140" t="s">
        <v>131</v>
      </c>
      <c r="E140">
        <v>9</v>
      </c>
      <c r="BK140">
        <v>230</v>
      </c>
      <c r="DW140">
        <v>0.04</v>
      </c>
      <c r="DX140">
        <v>60.9</v>
      </c>
      <c r="DY140">
        <v>28.7</v>
      </c>
      <c r="DZ140">
        <v>151.69</v>
      </c>
      <c r="EA140">
        <v>44.7</v>
      </c>
    </row>
    <row r="141" spans="1:131">
      <c r="A141" s="2">
        <v>43405</v>
      </c>
      <c r="B141" t="s">
        <v>125</v>
      </c>
      <c r="C141">
        <v>961</v>
      </c>
      <c r="D141" t="s">
        <v>126</v>
      </c>
      <c r="E141">
        <v>36</v>
      </c>
      <c r="BK141">
        <v>398</v>
      </c>
      <c r="DW141">
        <v>0.04</v>
      </c>
      <c r="DX141">
        <v>91.8</v>
      </c>
      <c r="DY141">
        <v>44.3</v>
      </c>
      <c r="DZ141">
        <v>314.52</v>
      </c>
      <c r="EA141">
        <v>98.9</v>
      </c>
    </row>
    <row r="142" spans="1:131">
      <c r="A142" s="2">
        <v>43405</v>
      </c>
      <c r="B142" t="s">
        <v>125</v>
      </c>
      <c r="C142">
        <v>961</v>
      </c>
      <c r="D142" t="s">
        <v>126</v>
      </c>
      <c r="E142">
        <v>37</v>
      </c>
      <c r="BK142">
        <v>398</v>
      </c>
      <c r="DW142">
        <v>0.04</v>
      </c>
      <c r="DX142">
        <v>92.9</v>
      </c>
      <c r="DY142">
        <v>44.5</v>
      </c>
      <c r="DZ142">
        <v>281.23</v>
      </c>
      <c r="EA142">
        <v>96.6</v>
      </c>
    </row>
    <row r="143" spans="1:131">
      <c r="A143" s="2">
        <v>43405</v>
      </c>
      <c r="B143" t="s">
        <v>125</v>
      </c>
      <c r="C143">
        <v>961</v>
      </c>
      <c r="D143" t="s">
        <v>126</v>
      </c>
      <c r="E143">
        <v>38</v>
      </c>
      <c r="BK143">
        <v>398</v>
      </c>
      <c r="DW143">
        <v>0.04</v>
      </c>
      <c r="DX143">
        <v>93.3</v>
      </c>
      <c r="DY143">
        <v>45.3</v>
      </c>
      <c r="DZ143">
        <v>296.02</v>
      </c>
      <c r="EA143">
        <v>96.3</v>
      </c>
    </row>
    <row r="144" spans="1:131">
      <c r="A144" s="2">
        <v>43405</v>
      </c>
      <c r="B144" t="s">
        <v>125</v>
      </c>
      <c r="C144">
        <v>961</v>
      </c>
      <c r="D144" t="s">
        <v>126</v>
      </c>
      <c r="E144">
        <v>39</v>
      </c>
      <c r="BK144">
        <v>398</v>
      </c>
      <c r="DW144">
        <v>0.04</v>
      </c>
      <c r="DX144">
        <v>92.5</v>
      </c>
      <c r="DY144">
        <v>42.9</v>
      </c>
      <c r="DZ144">
        <v>292.60000000000002</v>
      </c>
      <c r="EA144">
        <v>95.5</v>
      </c>
    </row>
    <row r="145" spans="1:131">
      <c r="A145" s="2">
        <v>43405</v>
      </c>
      <c r="B145" t="s">
        <v>125</v>
      </c>
      <c r="C145">
        <v>961</v>
      </c>
      <c r="D145" t="s">
        <v>126</v>
      </c>
      <c r="E145">
        <v>40</v>
      </c>
      <c r="BK145">
        <v>398</v>
      </c>
      <c r="DW145">
        <v>0.04</v>
      </c>
      <c r="DX145">
        <v>91.3</v>
      </c>
      <c r="DY145">
        <v>43.6</v>
      </c>
      <c r="DZ145">
        <v>310.57</v>
      </c>
      <c r="EA145">
        <v>95.3</v>
      </c>
    </row>
    <row r="146" spans="1:131">
      <c r="A146" s="2">
        <v>43405</v>
      </c>
      <c r="B146" t="s">
        <v>125</v>
      </c>
      <c r="C146">
        <v>961</v>
      </c>
      <c r="D146" t="s">
        <v>126</v>
      </c>
      <c r="E146">
        <v>41</v>
      </c>
      <c r="BK146">
        <v>398</v>
      </c>
      <c r="DW146">
        <v>0.04</v>
      </c>
      <c r="DX146">
        <v>93.1</v>
      </c>
      <c r="DY146">
        <v>43.5</v>
      </c>
      <c r="DZ146">
        <v>283.77999999999997</v>
      </c>
      <c r="EA146">
        <v>94.1</v>
      </c>
    </row>
    <row r="147" spans="1:131">
      <c r="A147" s="2">
        <v>43405</v>
      </c>
      <c r="B147" t="s">
        <v>125</v>
      </c>
      <c r="C147">
        <v>961</v>
      </c>
      <c r="D147" t="s">
        <v>126</v>
      </c>
      <c r="E147">
        <v>42</v>
      </c>
      <c r="BK147">
        <v>398</v>
      </c>
      <c r="DW147">
        <v>0.04</v>
      </c>
      <c r="DX147">
        <v>92.5</v>
      </c>
      <c r="DY147">
        <v>43.9</v>
      </c>
      <c r="DZ147">
        <v>320.01</v>
      </c>
      <c r="EA147">
        <v>93.9</v>
      </c>
    </row>
    <row r="148" spans="1:131">
      <c r="A148" s="2">
        <v>43405</v>
      </c>
      <c r="B148" t="s">
        <v>125</v>
      </c>
      <c r="C148">
        <v>961</v>
      </c>
      <c r="D148" t="s">
        <v>126</v>
      </c>
      <c r="E148">
        <v>43</v>
      </c>
      <c r="BK148">
        <v>398</v>
      </c>
      <c r="DW148">
        <v>0.04</v>
      </c>
      <c r="DX148">
        <v>92.6</v>
      </c>
      <c r="DY148">
        <v>42.7</v>
      </c>
      <c r="DZ148">
        <v>297.10000000000002</v>
      </c>
      <c r="EA148">
        <v>94.4</v>
      </c>
    </row>
    <row r="149" spans="1:131">
      <c r="A149" s="2">
        <v>43405</v>
      </c>
      <c r="B149" t="s">
        <v>125</v>
      </c>
      <c r="C149">
        <v>961</v>
      </c>
      <c r="D149" t="s">
        <v>126</v>
      </c>
      <c r="E149">
        <v>44</v>
      </c>
      <c r="BK149">
        <v>398</v>
      </c>
      <c r="DW149">
        <v>0.04</v>
      </c>
      <c r="DX149">
        <v>92.9</v>
      </c>
      <c r="DY149">
        <v>42.4</v>
      </c>
      <c r="DZ149">
        <v>264.3</v>
      </c>
      <c r="EA149">
        <v>95.8</v>
      </c>
    </row>
    <row r="150" spans="1:131">
      <c r="A150" s="2">
        <v>43405</v>
      </c>
      <c r="B150" t="s">
        <v>125</v>
      </c>
      <c r="C150">
        <v>961</v>
      </c>
      <c r="D150" t="s">
        <v>126</v>
      </c>
      <c r="E150">
        <v>45</v>
      </c>
      <c r="BK150">
        <v>398</v>
      </c>
      <c r="DW150">
        <v>0.04</v>
      </c>
      <c r="DX150">
        <v>90.9</v>
      </c>
      <c r="DY150">
        <v>43.3</v>
      </c>
      <c r="DZ150">
        <v>301.07</v>
      </c>
      <c r="EA150">
        <v>95.2</v>
      </c>
    </row>
    <row r="151" spans="1:131">
      <c r="A151" s="2">
        <v>43405</v>
      </c>
      <c r="B151" t="s">
        <v>125</v>
      </c>
      <c r="C151">
        <v>961</v>
      </c>
      <c r="D151" t="s">
        <v>126</v>
      </c>
      <c r="E151">
        <v>46</v>
      </c>
      <c r="BK151">
        <v>398</v>
      </c>
      <c r="DW151">
        <v>0.04</v>
      </c>
      <c r="DX151">
        <v>92.9</v>
      </c>
      <c r="DY151">
        <v>44.7</v>
      </c>
      <c r="DZ151">
        <v>325.64999999999998</v>
      </c>
      <c r="EA151">
        <v>95.8</v>
      </c>
    </row>
    <row r="152" spans="1:131">
      <c r="A152" s="2">
        <v>43408</v>
      </c>
      <c r="B152" t="s">
        <v>127</v>
      </c>
      <c r="C152">
        <v>692</v>
      </c>
      <c r="D152" t="s">
        <v>129</v>
      </c>
      <c r="E152">
        <v>1</v>
      </c>
      <c r="BK152">
        <v>344</v>
      </c>
      <c r="DW152">
        <v>0.04</v>
      </c>
      <c r="DX152">
        <v>93</v>
      </c>
      <c r="DY152">
        <v>41</v>
      </c>
      <c r="DZ152">
        <v>221.78</v>
      </c>
      <c r="EA152">
        <v>46.2</v>
      </c>
    </row>
    <row r="153" spans="1:131">
      <c r="A153" s="2">
        <v>43408</v>
      </c>
      <c r="B153" t="s">
        <v>127</v>
      </c>
      <c r="C153">
        <v>692</v>
      </c>
      <c r="D153" t="s">
        <v>129</v>
      </c>
      <c r="E153">
        <v>2</v>
      </c>
      <c r="BK153">
        <v>344</v>
      </c>
      <c r="DW153">
        <v>0.04</v>
      </c>
      <c r="DX153">
        <v>92.6</v>
      </c>
      <c r="DY153">
        <v>41.5</v>
      </c>
      <c r="DZ153">
        <v>228.52</v>
      </c>
      <c r="EA153">
        <v>46.9</v>
      </c>
    </row>
    <row r="154" spans="1:131">
      <c r="A154" s="2">
        <v>43408</v>
      </c>
      <c r="B154" t="s">
        <v>127</v>
      </c>
      <c r="C154">
        <v>692</v>
      </c>
      <c r="D154" t="s">
        <v>129</v>
      </c>
      <c r="E154">
        <v>3</v>
      </c>
      <c r="BK154">
        <v>344</v>
      </c>
      <c r="DW154">
        <v>0.04</v>
      </c>
      <c r="DX154">
        <v>91.7</v>
      </c>
      <c r="DY154">
        <v>39.9</v>
      </c>
      <c r="DZ154">
        <v>259.67</v>
      </c>
      <c r="EA154">
        <v>46.1</v>
      </c>
    </row>
    <row r="155" spans="1:131">
      <c r="A155" s="2">
        <v>43408</v>
      </c>
      <c r="B155" t="s">
        <v>127</v>
      </c>
      <c r="C155">
        <v>692</v>
      </c>
      <c r="D155" t="s">
        <v>129</v>
      </c>
      <c r="E155">
        <v>4</v>
      </c>
      <c r="BK155">
        <v>344</v>
      </c>
      <c r="DW155">
        <v>0.04</v>
      </c>
      <c r="DX155">
        <v>92.5</v>
      </c>
      <c r="DY155">
        <v>41.4</v>
      </c>
      <c r="DZ155">
        <v>250.32</v>
      </c>
      <c r="EA155">
        <v>45.8</v>
      </c>
    </row>
    <row r="156" spans="1:131">
      <c r="A156" s="2">
        <v>43418</v>
      </c>
      <c r="B156" t="s">
        <v>127</v>
      </c>
      <c r="C156">
        <v>961</v>
      </c>
      <c r="D156" t="s">
        <v>126</v>
      </c>
      <c r="E156">
        <v>80</v>
      </c>
      <c r="BK156">
        <v>398</v>
      </c>
      <c r="DW156">
        <v>0.04</v>
      </c>
      <c r="DX156">
        <v>88</v>
      </c>
      <c r="DY156">
        <v>45.2</v>
      </c>
      <c r="DZ156">
        <v>325.31</v>
      </c>
      <c r="EA156">
        <v>96.7</v>
      </c>
    </row>
    <row r="157" spans="1:131">
      <c r="A157" s="2">
        <v>43418</v>
      </c>
      <c r="B157" t="s">
        <v>127</v>
      </c>
      <c r="C157">
        <v>961</v>
      </c>
      <c r="D157" t="s">
        <v>126</v>
      </c>
      <c r="E157">
        <v>81</v>
      </c>
      <c r="BK157">
        <v>398</v>
      </c>
      <c r="DW157">
        <v>0.04</v>
      </c>
      <c r="DX157">
        <v>88.9</v>
      </c>
      <c r="DY157">
        <v>43.2</v>
      </c>
      <c r="DZ157">
        <v>306.27999999999997</v>
      </c>
      <c r="EA157">
        <v>96.6</v>
      </c>
    </row>
    <row r="158" spans="1:131">
      <c r="A158" s="2">
        <v>43418</v>
      </c>
      <c r="B158" t="s">
        <v>127</v>
      </c>
      <c r="C158">
        <v>961</v>
      </c>
      <c r="D158" t="s">
        <v>126</v>
      </c>
      <c r="E158">
        <v>82</v>
      </c>
      <c r="BK158">
        <v>398</v>
      </c>
      <c r="DW158">
        <v>0.04</v>
      </c>
      <c r="DX158">
        <v>92.4</v>
      </c>
      <c r="DY158">
        <v>44.8</v>
      </c>
      <c r="DZ158">
        <v>303.3</v>
      </c>
      <c r="EA158">
        <v>95.6</v>
      </c>
    </row>
    <row r="159" spans="1:131">
      <c r="A159" s="2">
        <v>43418</v>
      </c>
      <c r="B159" t="s">
        <v>127</v>
      </c>
      <c r="C159">
        <v>961</v>
      </c>
      <c r="D159" t="s">
        <v>126</v>
      </c>
      <c r="E159">
        <v>83</v>
      </c>
      <c r="BK159">
        <v>398</v>
      </c>
      <c r="DW159">
        <v>0.04</v>
      </c>
      <c r="DX159">
        <v>91.4</v>
      </c>
      <c r="DY159">
        <v>45.6</v>
      </c>
      <c r="DZ159">
        <v>313.13</v>
      </c>
      <c r="EA159">
        <v>96.5</v>
      </c>
    </row>
    <row r="160" spans="1:131">
      <c r="A160" s="2">
        <v>43418</v>
      </c>
      <c r="B160" t="s">
        <v>127</v>
      </c>
      <c r="C160">
        <v>961</v>
      </c>
      <c r="D160" t="s">
        <v>126</v>
      </c>
      <c r="E160">
        <v>84</v>
      </c>
      <c r="BK160">
        <v>398</v>
      </c>
      <c r="DW160">
        <v>0.04</v>
      </c>
      <c r="DX160">
        <v>91.4</v>
      </c>
      <c r="DY160">
        <v>44.3</v>
      </c>
      <c r="DZ160">
        <v>303.05</v>
      </c>
      <c r="EA160">
        <v>96.7</v>
      </c>
    </row>
    <row r="161" spans="1:131">
      <c r="A161" s="2">
        <v>43418</v>
      </c>
      <c r="B161" t="s">
        <v>127</v>
      </c>
      <c r="C161">
        <v>961</v>
      </c>
      <c r="D161" t="s">
        <v>126</v>
      </c>
      <c r="E161">
        <v>85</v>
      </c>
      <c r="BK161">
        <v>398</v>
      </c>
      <c r="DW161">
        <v>0.04</v>
      </c>
      <c r="DX161">
        <v>87.6</v>
      </c>
      <c r="DY161">
        <v>43.7</v>
      </c>
      <c r="DZ161">
        <v>320.76</v>
      </c>
      <c r="EA161">
        <v>96.6</v>
      </c>
    </row>
    <row r="162" spans="1:131">
      <c r="A162" s="2">
        <v>43418</v>
      </c>
      <c r="B162" t="s">
        <v>127</v>
      </c>
      <c r="C162">
        <v>961</v>
      </c>
      <c r="D162" t="s">
        <v>126</v>
      </c>
      <c r="E162">
        <v>86</v>
      </c>
      <c r="BK162">
        <v>398</v>
      </c>
      <c r="DW162">
        <v>0.04</v>
      </c>
      <c r="DX162">
        <v>87.3</v>
      </c>
      <c r="DY162">
        <v>43.5</v>
      </c>
      <c r="DZ162">
        <v>323.2</v>
      </c>
      <c r="EA162">
        <v>95.8</v>
      </c>
    </row>
    <row r="163" spans="1:131">
      <c r="A163" s="2">
        <v>43418</v>
      </c>
      <c r="B163" t="s">
        <v>127</v>
      </c>
      <c r="C163">
        <v>961</v>
      </c>
      <c r="D163" t="s">
        <v>126</v>
      </c>
      <c r="E163">
        <v>87</v>
      </c>
      <c r="BK163">
        <v>398</v>
      </c>
      <c r="DW163">
        <v>0.04</v>
      </c>
      <c r="DX163">
        <v>89.1</v>
      </c>
      <c r="DY163">
        <v>43.6</v>
      </c>
      <c r="DZ163">
        <v>321.05</v>
      </c>
      <c r="EA163">
        <v>95.6</v>
      </c>
    </row>
    <row r="164" spans="1:131">
      <c r="A164" s="2">
        <v>43418</v>
      </c>
      <c r="B164" t="s">
        <v>127</v>
      </c>
      <c r="C164">
        <v>961</v>
      </c>
      <c r="D164" t="s">
        <v>126</v>
      </c>
      <c r="E164">
        <v>88</v>
      </c>
      <c r="BK164">
        <v>398</v>
      </c>
      <c r="DW164">
        <v>0.04</v>
      </c>
      <c r="DX164">
        <v>90.5</v>
      </c>
      <c r="DY164">
        <v>42.4</v>
      </c>
      <c r="DZ164">
        <v>278.36</v>
      </c>
      <c r="EA164">
        <v>94.9</v>
      </c>
    </row>
    <row r="165" spans="1:131">
      <c r="A165" s="2">
        <v>43418</v>
      </c>
      <c r="B165" t="s">
        <v>127</v>
      </c>
      <c r="C165">
        <v>961</v>
      </c>
      <c r="D165" t="s">
        <v>126</v>
      </c>
      <c r="E165">
        <v>89</v>
      </c>
      <c r="BK165">
        <v>398</v>
      </c>
      <c r="DW165">
        <v>0.04</v>
      </c>
      <c r="DX165">
        <v>93</v>
      </c>
      <c r="DY165">
        <v>44.6</v>
      </c>
      <c r="DZ165">
        <v>292.12</v>
      </c>
      <c r="EA165">
        <v>93.8</v>
      </c>
    </row>
    <row r="166" spans="1:131">
      <c r="A166" s="2">
        <v>43418</v>
      </c>
      <c r="B166" t="s">
        <v>127</v>
      </c>
      <c r="C166">
        <v>961</v>
      </c>
      <c r="D166" t="s">
        <v>126</v>
      </c>
      <c r="E166">
        <v>90</v>
      </c>
      <c r="BK166">
        <v>398</v>
      </c>
      <c r="DW166">
        <v>0.04</v>
      </c>
      <c r="DX166">
        <v>89.4</v>
      </c>
      <c r="DY166">
        <v>43.4</v>
      </c>
      <c r="DZ166">
        <v>272.23</v>
      </c>
      <c r="EA166">
        <v>93.3</v>
      </c>
    </row>
    <row r="167" spans="1:131">
      <c r="A167" s="2">
        <v>43418</v>
      </c>
      <c r="B167" t="s">
        <v>127</v>
      </c>
      <c r="C167">
        <v>961</v>
      </c>
      <c r="D167" t="s">
        <v>126</v>
      </c>
      <c r="E167">
        <v>91</v>
      </c>
      <c r="BK167">
        <v>398</v>
      </c>
      <c r="DW167">
        <v>0.04</v>
      </c>
      <c r="DX167">
        <v>92.4</v>
      </c>
      <c r="DY167">
        <v>43.1</v>
      </c>
      <c r="DZ167">
        <v>273.32</v>
      </c>
      <c r="EA167">
        <v>93.5</v>
      </c>
    </row>
    <row r="168" spans="1:131">
      <c r="A168" s="2">
        <v>43418</v>
      </c>
      <c r="B168" t="s">
        <v>127</v>
      </c>
      <c r="C168">
        <v>961</v>
      </c>
      <c r="D168" t="s">
        <v>126</v>
      </c>
      <c r="E168">
        <v>92</v>
      </c>
      <c r="BK168">
        <v>398</v>
      </c>
      <c r="DW168">
        <v>0.04</v>
      </c>
      <c r="DX168">
        <v>92.5</v>
      </c>
      <c r="DY168">
        <v>44.6</v>
      </c>
      <c r="DZ168">
        <v>265.11</v>
      </c>
      <c r="EA168">
        <v>94.8</v>
      </c>
    </row>
    <row r="169" spans="1:131">
      <c r="A169" s="2">
        <v>43418</v>
      </c>
      <c r="B169" t="s">
        <v>127</v>
      </c>
      <c r="C169">
        <v>961</v>
      </c>
      <c r="D169" t="s">
        <v>126</v>
      </c>
      <c r="E169">
        <v>93</v>
      </c>
      <c r="BK169">
        <v>398</v>
      </c>
      <c r="DW169">
        <v>0.04</v>
      </c>
      <c r="DX169">
        <v>89.7</v>
      </c>
      <c r="DY169">
        <v>43.4</v>
      </c>
      <c r="DZ169">
        <v>306.36</v>
      </c>
      <c r="EA169">
        <v>94.9</v>
      </c>
    </row>
    <row r="170" spans="1:131">
      <c r="A170" s="2">
        <v>43418</v>
      </c>
      <c r="B170" t="s">
        <v>127</v>
      </c>
      <c r="C170">
        <v>961</v>
      </c>
      <c r="D170" t="s">
        <v>126</v>
      </c>
      <c r="E170">
        <v>94</v>
      </c>
      <c r="BK170">
        <v>398</v>
      </c>
      <c r="DW170">
        <v>0.04</v>
      </c>
      <c r="DX170">
        <v>90.6</v>
      </c>
      <c r="DY170">
        <v>44.2</v>
      </c>
      <c r="DZ170">
        <v>307.77999999999997</v>
      </c>
      <c r="EA170">
        <v>95.1</v>
      </c>
    </row>
    <row r="171" spans="1:131">
      <c r="A171" s="2">
        <v>43418</v>
      </c>
      <c r="B171" t="s">
        <v>127</v>
      </c>
      <c r="C171">
        <v>961</v>
      </c>
      <c r="D171" t="s">
        <v>126</v>
      </c>
      <c r="E171">
        <v>95</v>
      </c>
      <c r="BK171">
        <v>398</v>
      </c>
      <c r="DW171">
        <v>0.04</v>
      </c>
      <c r="DX171">
        <v>91.2</v>
      </c>
      <c r="DY171">
        <v>43</v>
      </c>
      <c r="DZ171">
        <v>266.86</v>
      </c>
      <c r="EA171">
        <v>93.7</v>
      </c>
    </row>
    <row r="172" spans="1:131">
      <c r="A172" s="2">
        <v>43418</v>
      </c>
      <c r="B172" t="s">
        <v>127</v>
      </c>
      <c r="C172">
        <v>961</v>
      </c>
      <c r="D172" t="s">
        <v>126</v>
      </c>
      <c r="E172">
        <v>96</v>
      </c>
      <c r="BK172">
        <v>398</v>
      </c>
      <c r="DW172">
        <v>0.04</v>
      </c>
      <c r="DX172">
        <v>93</v>
      </c>
      <c r="DY172">
        <v>42.7</v>
      </c>
      <c r="DZ172">
        <v>255.34</v>
      </c>
      <c r="EA172">
        <v>95.4</v>
      </c>
    </row>
    <row r="173" spans="1:131">
      <c r="A173" s="2">
        <v>43418</v>
      </c>
      <c r="B173" t="s">
        <v>127</v>
      </c>
      <c r="C173">
        <v>961</v>
      </c>
      <c r="D173" t="s">
        <v>126</v>
      </c>
      <c r="E173">
        <v>97</v>
      </c>
      <c r="BK173">
        <v>398</v>
      </c>
      <c r="DW173">
        <v>0.04</v>
      </c>
      <c r="DX173">
        <v>92.5</v>
      </c>
      <c r="DY173">
        <v>42.4</v>
      </c>
      <c r="DZ173">
        <v>268.45</v>
      </c>
      <c r="EA173">
        <v>94.1</v>
      </c>
    </row>
    <row r="174" spans="1:131">
      <c r="A174" s="2">
        <v>43418</v>
      </c>
      <c r="B174" t="s">
        <v>127</v>
      </c>
      <c r="C174">
        <v>961</v>
      </c>
      <c r="D174" t="s">
        <v>126</v>
      </c>
      <c r="E174">
        <v>98</v>
      </c>
      <c r="BK174">
        <v>398</v>
      </c>
      <c r="DW174">
        <v>0.04</v>
      </c>
      <c r="DX174">
        <v>90.8</v>
      </c>
      <c r="DY174">
        <v>41.4</v>
      </c>
      <c r="DZ174">
        <v>254.43</v>
      </c>
      <c r="EA174">
        <v>92.9</v>
      </c>
    </row>
    <row r="175" spans="1:131">
      <c r="A175" s="2">
        <v>43418</v>
      </c>
      <c r="B175" t="s">
        <v>127</v>
      </c>
      <c r="C175">
        <v>961</v>
      </c>
      <c r="D175" t="s">
        <v>126</v>
      </c>
      <c r="E175">
        <v>99</v>
      </c>
      <c r="BK175">
        <v>398</v>
      </c>
      <c r="DW175">
        <v>0.04</v>
      </c>
      <c r="DX175">
        <v>90.4</v>
      </c>
      <c r="DY175">
        <v>43.6</v>
      </c>
      <c r="DZ175">
        <v>271.77999999999997</v>
      </c>
      <c r="EA175">
        <v>94.2</v>
      </c>
    </row>
    <row r="176" spans="1:131">
      <c r="A176" s="2">
        <v>43418</v>
      </c>
      <c r="B176" t="s">
        <v>127</v>
      </c>
      <c r="C176">
        <v>961</v>
      </c>
      <c r="D176" t="s">
        <v>126</v>
      </c>
      <c r="E176">
        <v>100</v>
      </c>
      <c r="BK176">
        <v>398</v>
      </c>
      <c r="DW176">
        <v>0.04</v>
      </c>
      <c r="DX176">
        <v>92.8</v>
      </c>
      <c r="DY176">
        <v>44.9</v>
      </c>
      <c r="DZ176">
        <v>271.52999999999997</v>
      </c>
      <c r="EA176">
        <v>95</v>
      </c>
    </row>
    <row r="177" spans="1:131">
      <c r="A177" s="2">
        <v>43418</v>
      </c>
      <c r="B177" t="s">
        <v>127</v>
      </c>
      <c r="C177">
        <v>961</v>
      </c>
      <c r="D177" t="s">
        <v>126</v>
      </c>
      <c r="E177">
        <v>101</v>
      </c>
      <c r="BK177">
        <v>398</v>
      </c>
      <c r="DW177">
        <v>0.04</v>
      </c>
      <c r="DX177">
        <v>89.2</v>
      </c>
      <c r="DY177">
        <v>43.3</v>
      </c>
      <c r="DZ177">
        <v>305.14</v>
      </c>
      <c r="EA177">
        <v>95</v>
      </c>
    </row>
    <row r="178" spans="1:131">
      <c r="A178" s="2">
        <v>43420</v>
      </c>
      <c r="B178" t="s">
        <v>127</v>
      </c>
      <c r="C178">
        <v>84</v>
      </c>
      <c r="D178" t="s">
        <v>132</v>
      </c>
      <c r="E178">
        <v>1</v>
      </c>
      <c r="BK178">
        <v>116</v>
      </c>
      <c r="DW178">
        <v>0.04</v>
      </c>
      <c r="DX178">
        <v>39</v>
      </c>
      <c r="DY178">
        <v>14.9</v>
      </c>
      <c r="DZ178">
        <v>57.82</v>
      </c>
      <c r="EA178">
        <v>40.299999999999997</v>
      </c>
    </row>
    <row r="179" spans="1:131">
      <c r="A179" s="2">
        <v>43420</v>
      </c>
      <c r="B179" t="s">
        <v>127</v>
      </c>
      <c r="C179">
        <v>84</v>
      </c>
      <c r="D179" t="s">
        <v>132</v>
      </c>
      <c r="E179">
        <v>2</v>
      </c>
      <c r="BK179">
        <v>116</v>
      </c>
      <c r="DW179">
        <v>0.04</v>
      </c>
      <c r="DX179">
        <v>40.4</v>
      </c>
      <c r="DY179">
        <v>15</v>
      </c>
      <c r="DZ179">
        <v>65.13</v>
      </c>
      <c r="EA179">
        <v>41</v>
      </c>
    </row>
    <row r="180" spans="1:131">
      <c r="A180" s="2">
        <v>43420</v>
      </c>
      <c r="B180" t="s">
        <v>127</v>
      </c>
      <c r="C180">
        <v>84</v>
      </c>
      <c r="D180" t="s">
        <v>132</v>
      </c>
      <c r="E180">
        <v>3</v>
      </c>
      <c r="BK180">
        <v>116</v>
      </c>
      <c r="DW180">
        <v>0.04</v>
      </c>
      <c r="DX180">
        <v>39.9</v>
      </c>
      <c r="DY180">
        <v>14.9</v>
      </c>
      <c r="DZ180">
        <v>68.75</v>
      </c>
      <c r="EA180">
        <v>41.3</v>
      </c>
    </row>
    <row r="181" spans="1:131">
      <c r="A181" s="2">
        <v>43420</v>
      </c>
      <c r="B181" t="s">
        <v>127</v>
      </c>
      <c r="C181">
        <v>84</v>
      </c>
      <c r="D181" t="s">
        <v>132</v>
      </c>
      <c r="E181">
        <v>4</v>
      </c>
      <c r="BK181">
        <v>116</v>
      </c>
      <c r="DW181">
        <v>0.04</v>
      </c>
      <c r="DX181">
        <v>41.6</v>
      </c>
      <c r="DY181">
        <v>15.6</v>
      </c>
      <c r="DZ181">
        <v>72.2</v>
      </c>
      <c r="EA181">
        <v>41.8</v>
      </c>
    </row>
    <row r="182" spans="1:131">
      <c r="A182" s="2">
        <v>43420</v>
      </c>
      <c r="B182" t="s">
        <v>127</v>
      </c>
      <c r="C182">
        <v>84</v>
      </c>
      <c r="D182" t="s">
        <v>132</v>
      </c>
      <c r="E182">
        <v>5</v>
      </c>
      <c r="BK182">
        <v>116</v>
      </c>
      <c r="DW182">
        <v>0.04</v>
      </c>
      <c r="DX182">
        <v>40.4</v>
      </c>
      <c r="DY182">
        <v>15.4</v>
      </c>
      <c r="DZ182">
        <v>69.25</v>
      </c>
      <c r="EA182">
        <v>41.4</v>
      </c>
    </row>
    <row r="183" spans="1:131">
      <c r="A183" s="2">
        <v>43420</v>
      </c>
      <c r="B183" t="s">
        <v>127</v>
      </c>
      <c r="C183">
        <v>84</v>
      </c>
      <c r="D183" t="s">
        <v>132</v>
      </c>
      <c r="E183">
        <v>6</v>
      </c>
      <c r="BK183">
        <v>116</v>
      </c>
      <c r="DW183">
        <v>0.04</v>
      </c>
      <c r="DX183">
        <v>39.200000000000003</v>
      </c>
      <c r="DY183">
        <v>14.3</v>
      </c>
      <c r="DZ183">
        <v>65.66</v>
      </c>
      <c r="EA183">
        <v>39.5</v>
      </c>
    </row>
    <row r="184" spans="1:131">
      <c r="A184" s="2">
        <v>43420</v>
      </c>
      <c r="B184" t="s">
        <v>127</v>
      </c>
      <c r="C184">
        <v>84</v>
      </c>
      <c r="D184" t="s">
        <v>132</v>
      </c>
      <c r="E184">
        <v>7</v>
      </c>
      <c r="BK184">
        <v>116</v>
      </c>
      <c r="DW184">
        <v>0.04</v>
      </c>
      <c r="DX184">
        <v>41.7</v>
      </c>
      <c r="DY184">
        <v>14.6</v>
      </c>
      <c r="DZ184">
        <v>68.239999999999995</v>
      </c>
      <c r="EA184">
        <v>38.9</v>
      </c>
    </row>
    <row r="185" spans="1:131">
      <c r="A185" s="2">
        <v>43420</v>
      </c>
      <c r="B185" t="s">
        <v>127</v>
      </c>
      <c r="C185">
        <v>84</v>
      </c>
      <c r="D185" t="s">
        <v>132</v>
      </c>
      <c r="E185">
        <v>8</v>
      </c>
      <c r="BK185">
        <v>116</v>
      </c>
      <c r="DW185">
        <v>0.04</v>
      </c>
      <c r="DX185">
        <v>39.200000000000003</v>
      </c>
      <c r="DY185">
        <v>14.2</v>
      </c>
      <c r="DZ185">
        <v>62.53</v>
      </c>
      <c r="EA185">
        <v>39.9</v>
      </c>
    </row>
    <row r="186" spans="1:131">
      <c r="A186" s="2">
        <v>43420</v>
      </c>
      <c r="B186" t="s">
        <v>127</v>
      </c>
      <c r="C186">
        <v>84</v>
      </c>
      <c r="D186" t="s">
        <v>132</v>
      </c>
      <c r="E186">
        <v>9</v>
      </c>
      <c r="BK186">
        <v>116</v>
      </c>
      <c r="DW186">
        <v>0.04</v>
      </c>
      <c r="DX186">
        <v>40.5</v>
      </c>
      <c r="DY186">
        <v>14.7</v>
      </c>
      <c r="DZ186">
        <v>59.12</v>
      </c>
      <c r="EA186">
        <v>39.4</v>
      </c>
    </row>
    <row r="187" spans="1:131">
      <c r="A187" s="2">
        <v>43420</v>
      </c>
      <c r="B187" t="s">
        <v>127</v>
      </c>
      <c r="C187">
        <v>84</v>
      </c>
      <c r="D187" t="s">
        <v>132</v>
      </c>
      <c r="E187">
        <v>10</v>
      </c>
      <c r="BK187">
        <v>116</v>
      </c>
      <c r="DW187">
        <v>0.04</v>
      </c>
      <c r="DX187">
        <v>41.4</v>
      </c>
      <c r="DY187">
        <v>14.9</v>
      </c>
      <c r="DZ187">
        <v>66.92</v>
      </c>
      <c r="EA187">
        <v>39.5</v>
      </c>
    </row>
    <row r="188" spans="1:131">
      <c r="A188" s="2">
        <v>43420</v>
      </c>
      <c r="B188" t="s">
        <v>127</v>
      </c>
      <c r="C188">
        <v>84</v>
      </c>
      <c r="D188" t="s">
        <v>132</v>
      </c>
      <c r="E188">
        <v>11</v>
      </c>
      <c r="BK188">
        <v>116</v>
      </c>
      <c r="DW188">
        <v>0.04</v>
      </c>
      <c r="DX188">
        <v>40.700000000000003</v>
      </c>
      <c r="DY188">
        <v>14.4</v>
      </c>
      <c r="DZ188">
        <v>66.59</v>
      </c>
      <c r="EA188">
        <v>39.700000000000003</v>
      </c>
    </row>
    <row r="189" spans="1:131">
      <c r="A189" s="2">
        <v>43420</v>
      </c>
      <c r="B189" t="s">
        <v>127</v>
      </c>
      <c r="C189">
        <v>84</v>
      </c>
      <c r="D189" t="s">
        <v>132</v>
      </c>
      <c r="E189">
        <v>12</v>
      </c>
      <c r="BK189">
        <v>116</v>
      </c>
      <c r="DW189">
        <v>0.04</v>
      </c>
      <c r="DX189">
        <v>41.4</v>
      </c>
      <c r="DY189">
        <v>14.9</v>
      </c>
      <c r="DZ189">
        <v>73.66</v>
      </c>
      <c r="EA189">
        <v>39.6</v>
      </c>
    </row>
    <row r="190" spans="1:131">
      <c r="A190" s="2">
        <v>43420</v>
      </c>
      <c r="B190" t="s">
        <v>127</v>
      </c>
      <c r="C190">
        <v>84</v>
      </c>
      <c r="D190" t="s">
        <v>132</v>
      </c>
      <c r="E190">
        <v>13</v>
      </c>
      <c r="BK190">
        <v>116</v>
      </c>
      <c r="DW190">
        <v>0.04</v>
      </c>
      <c r="DX190">
        <v>40.4</v>
      </c>
      <c r="DY190">
        <v>14.7</v>
      </c>
      <c r="DZ190">
        <v>68.73</v>
      </c>
      <c r="EA190">
        <v>39.700000000000003</v>
      </c>
    </row>
    <row r="191" spans="1:131">
      <c r="A191" s="2">
        <v>43420</v>
      </c>
      <c r="B191" t="s">
        <v>127</v>
      </c>
      <c r="C191">
        <v>84</v>
      </c>
      <c r="D191" t="s">
        <v>132</v>
      </c>
      <c r="E191">
        <v>14</v>
      </c>
      <c r="BK191">
        <v>116</v>
      </c>
      <c r="DW191">
        <v>0.04</v>
      </c>
      <c r="DX191">
        <v>40.5</v>
      </c>
      <c r="DY191">
        <v>14.6</v>
      </c>
      <c r="DZ191">
        <v>65.89</v>
      </c>
      <c r="EA191">
        <v>39.799999999999997</v>
      </c>
    </row>
    <row r="192" spans="1:131">
      <c r="A192" s="2">
        <v>43420</v>
      </c>
      <c r="B192" t="s">
        <v>127</v>
      </c>
      <c r="C192">
        <v>84</v>
      </c>
      <c r="D192" t="s">
        <v>132</v>
      </c>
      <c r="E192">
        <v>15</v>
      </c>
      <c r="BK192">
        <v>116</v>
      </c>
      <c r="DW192">
        <v>0.04</v>
      </c>
      <c r="DX192">
        <v>41.5</v>
      </c>
      <c r="DY192">
        <v>15.1</v>
      </c>
      <c r="DZ192">
        <v>68.08</v>
      </c>
      <c r="EA192">
        <v>40.799999999999997</v>
      </c>
    </row>
    <row r="193" spans="1:131">
      <c r="A193" s="2">
        <v>43420</v>
      </c>
      <c r="B193" t="s">
        <v>127</v>
      </c>
      <c r="C193">
        <v>84</v>
      </c>
      <c r="D193" t="s">
        <v>132</v>
      </c>
      <c r="E193">
        <v>16</v>
      </c>
      <c r="BK193">
        <v>116</v>
      </c>
      <c r="DW193">
        <v>0.04</v>
      </c>
      <c r="DX193">
        <v>40.4</v>
      </c>
      <c r="DY193">
        <v>14.8</v>
      </c>
      <c r="DZ193">
        <v>67.069999999999993</v>
      </c>
      <c r="EA193">
        <v>40</v>
      </c>
    </row>
    <row r="194" spans="1:131">
      <c r="A194" s="2">
        <v>43420</v>
      </c>
      <c r="B194" t="s">
        <v>127</v>
      </c>
      <c r="C194">
        <v>84</v>
      </c>
      <c r="D194" t="s">
        <v>132</v>
      </c>
      <c r="E194">
        <v>17</v>
      </c>
      <c r="BK194">
        <v>116</v>
      </c>
      <c r="DW194">
        <v>0.04</v>
      </c>
      <c r="DX194">
        <v>40.200000000000003</v>
      </c>
      <c r="DY194">
        <v>14.9</v>
      </c>
      <c r="DZ194">
        <v>73.77</v>
      </c>
      <c r="EA194">
        <v>39.700000000000003</v>
      </c>
    </row>
    <row r="195" spans="1:131">
      <c r="A195" s="2">
        <v>43420</v>
      </c>
      <c r="B195" t="s">
        <v>127</v>
      </c>
      <c r="C195">
        <v>84</v>
      </c>
      <c r="D195" t="s">
        <v>132</v>
      </c>
      <c r="E195">
        <v>18</v>
      </c>
      <c r="BK195">
        <v>116</v>
      </c>
      <c r="DW195">
        <v>0.04</v>
      </c>
      <c r="DX195">
        <v>43.3</v>
      </c>
      <c r="DY195">
        <v>15.4</v>
      </c>
      <c r="DZ195">
        <v>72.31</v>
      </c>
      <c r="EA195">
        <v>39.6</v>
      </c>
    </row>
    <row r="196" spans="1:131">
      <c r="A196" s="2">
        <v>43420</v>
      </c>
      <c r="B196" t="s">
        <v>127</v>
      </c>
      <c r="C196">
        <v>84</v>
      </c>
      <c r="D196" t="s">
        <v>132</v>
      </c>
      <c r="E196">
        <v>19</v>
      </c>
      <c r="BK196">
        <v>116</v>
      </c>
      <c r="DW196">
        <v>0.04</v>
      </c>
      <c r="DX196">
        <v>40.5</v>
      </c>
      <c r="DY196">
        <v>15.1</v>
      </c>
      <c r="DZ196">
        <v>71.150000000000006</v>
      </c>
      <c r="EA196">
        <v>39.700000000000003</v>
      </c>
    </row>
    <row r="197" spans="1:131">
      <c r="A197" s="2">
        <v>43420</v>
      </c>
      <c r="B197" t="s">
        <v>127</v>
      </c>
      <c r="C197">
        <v>84</v>
      </c>
      <c r="D197" t="s">
        <v>132</v>
      </c>
      <c r="E197">
        <v>20</v>
      </c>
      <c r="BK197">
        <v>116</v>
      </c>
      <c r="DW197">
        <v>0.04</v>
      </c>
      <c r="DX197">
        <v>42.1</v>
      </c>
      <c r="DY197">
        <v>14.8</v>
      </c>
      <c r="DZ197">
        <v>71.59</v>
      </c>
      <c r="EA197">
        <v>42</v>
      </c>
    </row>
    <row r="198" spans="1:131">
      <c r="A198" s="2">
        <v>43420</v>
      </c>
      <c r="B198" t="s">
        <v>127</v>
      </c>
      <c r="C198">
        <v>84</v>
      </c>
      <c r="D198" t="s">
        <v>132</v>
      </c>
      <c r="E198">
        <v>21</v>
      </c>
      <c r="BK198">
        <v>116</v>
      </c>
      <c r="DW198">
        <v>0.04</v>
      </c>
      <c r="DX198">
        <v>42.9</v>
      </c>
      <c r="DY198">
        <v>16.2</v>
      </c>
      <c r="DZ198">
        <v>75.489999999999995</v>
      </c>
      <c r="EA198">
        <v>42.7</v>
      </c>
    </row>
    <row r="199" spans="1:131">
      <c r="A199" s="2">
        <v>43420</v>
      </c>
      <c r="B199" t="s">
        <v>127</v>
      </c>
      <c r="C199">
        <v>84</v>
      </c>
      <c r="D199" t="s">
        <v>132</v>
      </c>
      <c r="E199">
        <v>22</v>
      </c>
      <c r="BK199">
        <v>116</v>
      </c>
      <c r="DW199">
        <v>0.04</v>
      </c>
      <c r="DX199">
        <v>40.1</v>
      </c>
      <c r="DY199">
        <v>15.4</v>
      </c>
      <c r="DZ199">
        <v>77.95</v>
      </c>
      <c r="EA199">
        <v>41.8</v>
      </c>
    </row>
    <row r="200" spans="1:131">
      <c r="A200" s="2">
        <v>43420</v>
      </c>
      <c r="B200" t="s">
        <v>127</v>
      </c>
      <c r="C200">
        <v>84</v>
      </c>
      <c r="D200" t="s">
        <v>132</v>
      </c>
      <c r="E200">
        <v>23</v>
      </c>
      <c r="BK200">
        <v>116</v>
      </c>
      <c r="DW200">
        <v>0.04</v>
      </c>
      <c r="DX200">
        <v>42.2</v>
      </c>
      <c r="DY200">
        <v>15.4</v>
      </c>
      <c r="DZ200">
        <v>73.58</v>
      </c>
      <c r="EA200">
        <v>42.1</v>
      </c>
    </row>
    <row r="201" spans="1:131">
      <c r="A201" s="2">
        <v>43420</v>
      </c>
      <c r="B201" t="s">
        <v>127</v>
      </c>
      <c r="C201">
        <v>84</v>
      </c>
      <c r="D201" t="s">
        <v>132</v>
      </c>
      <c r="E201">
        <v>24</v>
      </c>
      <c r="BK201">
        <v>116</v>
      </c>
      <c r="DW201">
        <v>0.04</v>
      </c>
      <c r="DX201">
        <v>39.9</v>
      </c>
      <c r="DY201">
        <v>14.8</v>
      </c>
      <c r="DZ201">
        <v>71.680000000000007</v>
      </c>
      <c r="EA201">
        <v>41.9</v>
      </c>
    </row>
    <row r="202" spans="1:131">
      <c r="A202" s="2">
        <v>43420</v>
      </c>
      <c r="B202" t="s">
        <v>127</v>
      </c>
      <c r="C202">
        <v>84</v>
      </c>
      <c r="D202" t="s">
        <v>132</v>
      </c>
      <c r="E202">
        <v>25</v>
      </c>
      <c r="BK202">
        <v>116</v>
      </c>
      <c r="DW202">
        <v>0.04</v>
      </c>
      <c r="DX202">
        <v>40.799999999999997</v>
      </c>
      <c r="DY202">
        <v>15.7</v>
      </c>
      <c r="DZ202">
        <v>77.59</v>
      </c>
      <c r="EA202">
        <v>42.3</v>
      </c>
    </row>
    <row r="203" spans="1:131">
      <c r="A203" s="2">
        <v>43420</v>
      </c>
      <c r="B203" t="s">
        <v>127</v>
      </c>
      <c r="C203">
        <v>84</v>
      </c>
      <c r="D203" t="s">
        <v>132</v>
      </c>
      <c r="E203">
        <v>26</v>
      </c>
      <c r="BK203">
        <v>116</v>
      </c>
      <c r="DW203">
        <v>0.04</v>
      </c>
      <c r="DX203">
        <v>40.700000000000003</v>
      </c>
      <c r="DY203">
        <v>15.5</v>
      </c>
      <c r="DZ203">
        <v>66.34</v>
      </c>
      <c r="EA203">
        <v>42.7</v>
      </c>
    </row>
    <row r="204" spans="1:131">
      <c r="A204" s="2">
        <v>43420</v>
      </c>
      <c r="B204" t="s">
        <v>127</v>
      </c>
      <c r="C204">
        <v>84</v>
      </c>
      <c r="D204" t="s">
        <v>132</v>
      </c>
      <c r="E204">
        <v>27</v>
      </c>
      <c r="BK204">
        <v>116</v>
      </c>
      <c r="DW204">
        <v>0.04</v>
      </c>
      <c r="DX204">
        <v>42.5</v>
      </c>
      <c r="DY204">
        <v>15.9</v>
      </c>
      <c r="DZ204">
        <v>67.06</v>
      </c>
      <c r="EA204">
        <v>42.8</v>
      </c>
    </row>
    <row r="205" spans="1:131">
      <c r="A205" s="2">
        <v>43420</v>
      </c>
      <c r="B205" t="s">
        <v>127</v>
      </c>
      <c r="C205">
        <v>84</v>
      </c>
      <c r="D205" t="s">
        <v>132</v>
      </c>
      <c r="E205">
        <v>28</v>
      </c>
      <c r="BK205">
        <v>116</v>
      </c>
      <c r="DW205">
        <v>0.04</v>
      </c>
      <c r="DX205">
        <v>41.4</v>
      </c>
      <c r="DY205">
        <v>15.7</v>
      </c>
      <c r="DZ205">
        <v>70.599999999999994</v>
      </c>
      <c r="EA205">
        <v>43.1</v>
      </c>
    </row>
    <row r="206" spans="1:131">
      <c r="A206" s="2">
        <v>43420</v>
      </c>
      <c r="B206" t="s">
        <v>127</v>
      </c>
      <c r="C206">
        <v>84</v>
      </c>
      <c r="D206" t="s">
        <v>132</v>
      </c>
      <c r="E206">
        <v>29</v>
      </c>
      <c r="BK206">
        <v>116</v>
      </c>
      <c r="DW206">
        <v>0.04</v>
      </c>
      <c r="DX206">
        <v>41.3</v>
      </c>
      <c r="DY206">
        <v>15.7</v>
      </c>
      <c r="DZ206">
        <v>63.99</v>
      </c>
      <c r="EA206">
        <v>43.1</v>
      </c>
    </row>
    <row r="207" spans="1:131">
      <c r="A207" s="2">
        <v>43420</v>
      </c>
      <c r="B207" t="s">
        <v>127</v>
      </c>
      <c r="C207">
        <v>84</v>
      </c>
      <c r="D207" t="s">
        <v>132</v>
      </c>
      <c r="E207">
        <v>30</v>
      </c>
      <c r="BK207">
        <v>116</v>
      </c>
      <c r="DW207">
        <v>0.04</v>
      </c>
      <c r="DX207">
        <v>42.6</v>
      </c>
      <c r="DY207">
        <v>16</v>
      </c>
      <c r="DZ207">
        <v>70.790000000000006</v>
      </c>
      <c r="EA207">
        <v>42</v>
      </c>
    </row>
    <row r="208" spans="1:131">
      <c r="A208" s="2">
        <v>43420</v>
      </c>
      <c r="B208" t="s">
        <v>127</v>
      </c>
      <c r="C208">
        <v>84</v>
      </c>
      <c r="D208" t="s">
        <v>132</v>
      </c>
      <c r="E208">
        <v>31</v>
      </c>
      <c r="BK208">
        <v>116</v>
      </c>
      <c r="DW208">
        <v>0.04</v>
      </c>
      <c r="DX208">
        <v>40.200000000000003</v>
      </c>
      <c r="DY208">
        <v>15.3</v>
      </c>
      <c r="DZ208">
        <v>70.11</v>
      </c>
      <c r="EA208">
        <v>41</v>
      </c>
    </row>
    <row r="209" spans="1:131">
      <c r="A209" s="2">
        <v>43421</v>
      </c>
      <c r="B209" t="s">
        <v>125</v>
      </c>
      <c r="C209">
        <v>84</v>
      </c>
      <c r="D209" t="s">
        <v>132</v>
      </c>
      <c r="E209">
        <v>1</v>
      </c>
      <c r="BK209">
        <v>120</v>
      </c>
      <c r="DW209">
        <v>0.04</v>
      </c>
      <c r="DX209">
        <v>39.700000000000003</v>
      </c>
      <c r="DY209">
        <v>14.9</v>
      </c>
      <c r="DZ209">
        <v>62.93</v>
      </c>
      <c r="EA209">
        <v>39.9</v>
      </c>
    </row>
    <row r="210" spans="1:131">
      <c r="A210" s="2">
        <v>43421</v>
      </c>
      <c r="B210" t="s">
        <v>125</v>
      </c>
      <c r="C210">
        <v>84</v>
      </c>
      <c r="D210" t="s">
        <v>132</v>
      </c>
      <c r="E210">
        <v>2</v>
      </c>
      <c r="BK210">
        <v>120</v>
      </c>
      <c r="DW210">
        <v>0.04</v>
      </c>
      <c r="DX210">
        <v>42.9</v>
      </c>
      <c r="DY210">
        <v>15.3</v>
      </c>
      <c r="DZ210">
        <v>70.08</v>
      </c>
      <c r="EA210">
        <v>41.6</v>
      </c>
    </row>
    <row r="211" spans="1:131">
      <c r="A211" s="2">
        <v>43421</v>
      </c>
      <c r="B211" t="s">
        <v>125</v>
      </c>
      <c r="C211">
        <v>84</v>
      </c>
      <c r="D211" t="s">
        <v>132</v>
      </c>
      <c r="E211">
        <v>3</v>
      </c>
      <c r="BK211">
        <v>120</v>
      </c>
      <c r="DW211">
        <v>0.04</v>
      </c>
      <c r="DX211">
        <v>41.1</v>
      </c>
      <c r="DY211">
        <v>16.2</v>
      </c>
      <c r="DZ211">
        <v>78.5</v>
      </c>
      <c r="EA211">
        <v>42.6</v>
      </c>
    </row>
    <row r="212" spans="1:131">
      <c r="A212" s="2">
        <v>43421</v>
      </c>
      <c r="B212" t="s">
        <v>125</v>
      </c>
      <c r="C212">
        <v>84</v>
      </c>
      <c r="D212" t="s">
        <v>132</v>
      </c>
      <c r="E212">
        <v>4</v>
      </c>
      <c r="BK212">
        <v>120</v>
      </c>
      <c r="DW212">
        <v>0.04</v>
      </c>
      <c r="DX212">
        <v>42</v>
      </c>
      <c r="DY212">
        <v>16.2</v>
      </c>
      <c r="DZ212">
        <v>76.88</v>
      </c>
      <c r="EA212">
        <v>42.1</v>
      </c>
    </row>
    <row r="213" spans="1:131">
      <c r="A213" s="2">
        <v>43424</v>
      </c>
      <c r="B213" t="s">
        <v>127</v>
      </c>
      <c r="C213">
        <v>7</v>
      </c>
      <c r="D213" t="s">
        <v>133</v>
      </c>
      <c r="E213">
        <v>31</v>
      </c>
      <c r="BK213">
        <v>224</v>
      </c>
      <c r="DW213">
        <v>0.04</v>
      </c>
      <c r="DX213">
        <v>59.2</v>
      </c>
      <c r="DY213">
        <v>28</v>
      </c>
      <c r="DZ213">
        <v>153.1</v>
      </c>
      <c r="EA213">
        <v>83.9</v>
      </c>
    </row>
    <row r="214" spans="1:131">
      <c r="A214" s="2">
        <v>43424</v>
      </c>
      <c r="B214" t="s">
        <v>127</v>
      </c>
      <c r="C214">
        <v>7</v>
      </c>
      <c r="D214" t="s">
        <v>133</v>
      </c>
      <c r="E214">
        <v>32</v>
      </c>
      <c r="BK214">
        <v>224</v>
      </c>
      <c r="DW214">
        <v>0.04</v>
      </c>
      <c r="DX214">
        <v>59</v>
      </c>
      <c r="DY214">
        <v>26.8</v>
      </c>
      <c r="DZ214">
        <v>134.11000000000001</v>
      </c>
      <c r="EA214">
        <v>83.2</v>
      </c>
    </row>
    <row r="215" spans="1:131">
      <c r="A215" s="2">
        <v>43424</v>
      </c>
      <c r="B215" t="s">
        <v>127</v>
      </c>
      <c r="C215">
        <v>7</v>
      </c>
      <c r="D215" t="s">
        <v>133</v>
      </c>
      <c r="E215">
        <v>33</v>
      </c>
      <c r="BK215">
        <v>224</v>
      </c>
      <c r="DW215">
        <v>0.04</v>
      </c>
      <c r="DX215">
        <v>58.9</v>
      </c>
      <c r="DY215">
        <v>27</v>
      </c>
      <c r="DZ215">
        <v>150.94999999999999</v>
      </c>
      <c r="EA215">
        <v>83.2</v>
      </c>
    </row>
    <row r="216" spans="1:131">
      <c r="A216" s="2">
        <v>43424</v>
      </c>
      <c r="B216" t="s">
        <v>127</v>
      </c>
      <c r="C216">
        <v>7</v>
      </c>
      <c r="D216" t="s">
        <v>133</v>
      </c>
      <c r="E216">
        <v>34</v>
      </c>
      <c r="BK216">
        <v>224</v>
      </c>
      <c r="DW216">
        <v>0.04</v>
      </c>
      <c r="DX216">
        <v>61</v>
      </c>
      <c r="DY216">
        <v>28.7</v>
      </c>
      <c r="DZ216">
        <v>151.84</v>
      </c>
      <c r="EA216">
        <v>82.2</v>
      </c>
    </row>
    <row r="217" spans="1:131">
      <c r="A217" s="2">
        <v>43424</v>
      </c>
      <c r="B217" t="s">
        <v>127</v>
      </c>
      <c r="C217">
        <v>7</v>
      </c>
      <c r="D217" t="s">
        <v>133</v>
      </c>
      <c r="E217">
        <v>35</v>
      </c>
      <c r="BK217">
        <v>224</v>
      </c>
      <c r="DW217">
        <v>0.04</v>
      </c>
      <c r="DX217">
        <v>60.8</v>
      </c>
      <c r="DY217">
        <v>28</v>
      </c>
      <c r="DZ217">
        <v>147.59</v>
      </c>
      <c r="EA217">
        <v>81.900000000000006</v>
      </c>
    </row>
    <row r="218" spans="1:131">
      <c r="A218" s="2">
        <v>43424</v>
      </c>
      <c r="B218" t="s">
        <v>127</v>
      </c>
      <c r="C218">
        <v>7</v>
      </c>
      <c r="D218" t="s">
        <v>133</v>
      </c>
      <c r="E218">
        <v>36</v>
      </c>
      <c r="BK218">
        <v>224</v>
      </c>
      <c r="DW218">
        <v>0.04</v>
      </c>
      <c r="DX218">
        <v>61</v>
      </c>
      <c r="DY218">
        <v>28.4</v>
      </c>
      <c r="DZ218">
        <v>147.27000000000001</v>
      </c>
      <c r="EA218">
        <v>83.6</v>
      </c>
    </row>
    <row r="219" spans="1:131">
      <c r="A219" s="2">
        <v>43424</v>
      </c>
      <c r="B219" t="s">
        <v>127</v>
      </c>
      <c r="C219">
        <v>7</v>
      </c>
      <c r="D219" t="s">
        <v>133</v>
      </c>
      <c r="E219">
        <v>37</v>
      </c>
      <c r="BK219">
        <v>224</v>
      </c>
      <c r="DW219">
        <v>0.04</v>
      </c>
      <c r="DX219">
        <v>59.7</v>
      </c>
      <c r="DY219">
        <v>27.5</v>
      </c>
      <c r="DZ219">
        <v>127.23</v>
      </c>
      <c r="EA219">
        <v>84.4</v>
      </c>
    </row>
    <row r="220" spans="1:131">
      <c r="A220" s="2">
        <v>43424</v>
      </c>
      <c r="B220" t="s">
        <v>127</v>
      </c>
      <c r="C220">
        <v>7</v>
      </c>
      <c r="D220" t="s">
        <v>133</v>
      </c>
      <c r="E220">
        <v>38</v>
      </c>
      <c r="BK220">
        <v>224</v>
      </c>
      <c r="DW220">
        <v>0.04</v>
      </c>
      <c r="DX220">
        <v>59.2</v>
      </c>
      <c r="DY220">
        <v>28.1</v>
      </c>
      <c r="DZ220">
        <v>149.06</v>
      </c>
      <c r="EA220">
        <v>84.9</v>
      </c>
    </row>
    <row r="221" spans="1:131">
      <c r="A221" s="2">
        <v>43424</v>
      </c>
      <c r="B221" t="s">
        <v>127</v>
      </c>
      <c r="C221">
        <v>7</v>
      </c>
      <c r="D221" t="s">
        <v>133</v>
      </c>
      <c r="E221">
        <v>39</v>
      </c>
      <c r="BK221">
        <v>224</v>
      </c>
      <c r="DW221">
        <v>0.04</v>
      </c>
      <c r="DX221">
        <v>60.2</v>
      </c>
      <c r="DY221">
        <v>28.8</v>
      </c>
      <c r="DZ221">
        <v>143.18</v>
      </c>
      <c r="EA221">
        <v>83.7</v>
      </c>
    </row>
    <row r="222" spans="1:131">
      <c r="A222" s="2">
        <v>43424</v>
      </c>
      <c r="B222" t="s">
        <v>127</v>
      </c>
      <c r="C222">
        <v>7</v>
      </c>
      <c r="D222" t="s">
        <v>133</v>
      </c>
      <c r="E222">
        <v>40</v>
      </c>
      <c r="BK222">
        <v>224</v>
      </c>
      <c r="DW222">
        <v>0.04</v>
      </c>
      <c r="DX222">
        <v>61</v>
      </c>
      <c r="DY222">
        <v>28.2</v>
      </c>
      <c r="DZ222">
        <v>157.27000000000001</v>
      </c>
      <c r="EA222">
        <v>82.2</v>
      </c>
    </row>
    <row r="223" spans="1:131">
      <c r="A223" s="2">
        <v>43424</v>
      </c>
      <c r="B223" t="s">
        <v>127</v>
      </c>
      <c r="C223">
        <v>7</v>
      </c>
      <c r="D223" t="s">
        <v>133</v>
      </c>
      <c r="E223">
        <v>41</v>
      </c>
      <c r="BK223">
        <v>224</v>
      </c>
      <c r="DW223">
        <v>0.04</v>
      </c>
      <c r="DX223">
        <v>60.7</v>
      </c>
      <c r="DY223">
        <v>27.2</v>
      </c>
      <c r="DZ223">
        <v>142.91</v>
      </c>
      <c r="EA223">
        <v>83</v>
      </c>
    </row>
    <row r="224" spans="1:131">
      <c r="A224" s="2">
        <v>43424</v>
      </c>
      <c r="B224" t="s">
        <v>127</v>
      </c>
      <c r="C224">
        <v>7</v>
      </c>
      <c r="D224" t="s">
        <v>133</v>
      </c>
      <c r="E224">
        <v>42</v>
      </c>
      <c r="BK224">
        <v>224</v>
      </c>
      <c r="DW224">
        <v>0.04</v>
      </c>
      <c r="DX224">
        <v>60.9</v>
      </c>
      <c r="DY224">
        <v>28.6</v>
      </c>
      <c r="DZ224">
        <v>155.46</v>
      </c>
      <c r="EA224">
        <v>83.5</v>
      </c>
    </row>
    <row r="225" spans="1:131">
      <c r="A225" s="2">
        <v>43424</v>
      </c>
      <c r="B225" t="s">
        <v>127</v>
      </c>
      <c r="C225">
        <v>7</v>
      </c>
      <c r="D225" t="s">
        <v>133</v>
      </c>
      <c r="E225">
        <v>43</v>
      </c>
      <c r="BK225">
        <v>224</v>
      </c>
      <c r="DW225">
        <v>0.04</v>
      </c>
      <c r="DX225">
        <v>59</v>
      </c>
      <c r="DY225">
        <v>27.7</v>
      </c>
      <c r="DZ225">
        <v>159.36000000000001</v>
      </c>
      <c r="EA225">
        <v>82</v>
      </c>
    </row>
    <row r="226" spans="1:131">
      <c r="A226" s="2">
        <v>43424</v>
      </c>
      <c r="B226" t="s">
        <v>127</v>
      </c>
      <c r="C226">
        <v>7</v>
      </c>
      <c r="D226" t="s">
        <v>133</v>
      </c>
      <c r="E226">
        <v>44</v>
      </c>
      <c r="BK226">
        <v>224</v>
      </c>
      <c r="DW226">
        <v>0.04</v>
      </c>
      <c r="DX226">
        <v>60.9</v>
      </c>
      <c r="DY226">
        <v>27.3</v>
      </c>
      <c r="DZ226">
        <v>155.97999999999999</v>
      </c>
      <c r="EA226">
        <v>80.5</v>
      </c>
    </row>
    <row r="227" spans="1:131">
      <c r="A227" s="2">
        <v>43424</v>
      </c>
      <c r="B227" t="s">
        <v>127</v>
      </c>
      <c r="C227">
        <v>7</v>
      </c>
      <c r="D227" t="s">
        <v>133</v>
      </c>
      <c r="E227">
        <v>45</v>
      </c>
      <c r="BK227">
        <v>224</v>
      </c>
      <c r="DW227">
        <v>0.04</v>
      </c>
      <c r="DX227">
        <v>60.7</v>
      </c>
      <c r="DY227">
        <v>28.4</v>
      </c>
      <c r="DZ227">
        <v>158.58000000000001</v>
      </c>
      <c r="EA227">
        <v>82.5</v>
      </c>
    </row>
    <row r="228" spans="1:131">
      <c r="A228" s="2">
        <v>43424</v>
      </c>
      <c r="B228" t="s">
        <v>127</v>
      </c>
      <c r="C228">
        <v>7</v>
      </c>
      <c r="D228" t="s">
        <v>133</v>
      </c>
      <c r="E228">
        <v>46</v>
      </c>
      <c r="BK228">
        <v>224</v>
      </c>
      <c r="DW228">
        <v>0.04</v>
      </c>
      <c r="DX228">
        <v>60.4</v>
      </c>
      <c r="DY228">
        <v>27.2</v>
      </c>
      <c r="DZ228">
        <v>148.85</v>
      </c>
      <c r="EA228">
        <v>81.5</v>
      </c>
    </row>
    <row r="229" spans="1:131">
      <c r="A229" s="2">
        <v>43424</v>
      </c>
      <c r="B229" t="s">
        <v>127</v>
      </c>
      <c r="C229">
        <v>7</v>
      </c>
      <c r="D229" t="s">
        <v>133</v>
      </c>
      <c r="E229">
        <v>47</v>
      </c>
      <c r="BK229">
        <v>224</v>
      </c>
      <c r="DW229">
        <v>0.04</v>
      </c>
      <c r="DX229">
        <v>59.3</v>
      </c>
      <c r="DY229">
        <v>27.3</v>
      </c>
      <c r="DZ229">
        <v>144.75</v>
      </c>
      <c r="EA229">
        <v>81.7</v>
      </c>
    </row>
    <row r="230" spans="1:131">
      <c r="A230" s="2">
        <v>43424</v>
      </c>
      <c r="B230" t="s">
        <v>127</v>
      </c>
      <c r="C230">
        <v>7</v>
      </c>
      <c r="D230" t="s">
        <v>133</v>
      </c>
      <c r="E230">
        <v>48</v>
      </c>
      <c r="BK230">
        <v>224</v>
      </c>
      <c r="DW230">
        <v>0.04</v>
      </c>
      <c r="DX230">
        <v>56.9</v>
      </c>
      <c r="DY230">
        <v>27.4</v>
      </c>
      <c r="DZ230">
        <v>160</v>
      </c>
      <c r="EA230">
        <v>81.400000000000006</v>
      </c>
    </row>
    <row r="231" spans="1:131">
      <c r="A231" s="2">
        <v>43424</v>
      </c>
      <c r="B231" t="s">
        <v>127</v>
      </c>
      <c r="C231">
        <v>7</v>
      </c>
      <c r="D231" t="s">
        <v>133</v>
      </c>
      <c r="E231">
        <v>49</v>
      </c>
      <c r="BK231">
        <v>224</v>
      </c>
      <c r="DW231">
        <v>0.04</v>
      </c>
      <c r="DX231">
        <v>59</v>
      </c>
      <c r="DY231">
        <v>27.4</v>
      </c>
      <c r="DZ231">
        <v>157.36000000000001</v>
      </c>
      <c r="EA231">
        <v>82.9</v>
      </c>
    </row>
    <row r="232" spans="1:131">
      <c r="A232" s="2">
        <v>43424</v>
      </c>
      <c r="B232" t="s">
        <v>127</v>
      </c>
      <c r="C232">
        <v>7</v>
      </c>
      <c r="D232" t="s">
        <v>133</v>
      </c>
      <c r="E232">
        <v>50</v>
      </c>
      <c r="BK232">
        <v>224</v>
      </c>
      <c r="DW232">
        <v>0.04</v>
      </c>
      <c r="DX232">
        <v>58</v>
      </c>
      <c r="DY232">
        <v>28.1</v>
      </c>
      <c r="DZ232">
        <v>156.77000000000001</v>
      </c>
      <c r="EA232">
        <v>85.7</v>
      </c>
    </row>
    <row r="233" spans="1:131">
      <c r="A233" s="2">
        <v>43427</v>
      </c>
      <c r="B233" t="s">
        <v>127</v>
      </c>
      <c r="C233">
        <v>950</v>
      </c>
      <c r="D233" t="s">
        <v>128</v>
      </c>
      <c r="E233">
        <v>50</v>
      </c>
      <c r="BK233">
        <v>232</v>
      </c>
      <c r="DW233">
        <v>0.04</v>
      </c>
      <c r="DX233">
        <v>61.8</v>
      </c>
      <c r="DY233">
        <v>27.3</v>
      </c>
      <c r="DZ233">
        <v>140.77000000000001</v>
      </c>
      <c r="EA233">
        <v>83.9</v>
      </c>
    </row>
    <row r="234" spans="1:131">
      <c r="A234" s="2">
        <v>43428</v>
      </c>
      <c r="B234" t="s">
        <v>125</v>
      </c>
      <c r="C234">
        <v>950</v>
      </c>
      <c r="D234" t="s">
        <v>128</v>
      </c>
      <c r="E234">
        <v>1</v>
      </c>
      <c r="BK234">
        <v>232</v>
      </c>
      <c r="DW234">
        <v>0.04</v>
      </c>
      <c r="DX234">
        <v>62.3</v>
      </c>
      <c r="DY234">
        <v>28.4</v>
      </c>
      <c r="DZ234">
        <v>160.51</v>
      </c>
      <c r="EA234">
        <v>82.6</v>
      </c>
    </row>
    <row r="235" spans="1:131">
      <c r="A235" s="2">
        <v>43428</v>
      </c>
      <c r="B235" t="s">
        <v>125</v>
      </c>
      <c r="C235">
        <v>950</v>
      </c>
      <c r="D235" t="s">
        <v>128</v>
      </c>
      <c r="E235">
        <v>2</v>
      </c>
      <c r="BK235">
        <v>232</v>
      </c>
      <c r="DW235">
        <v>0.04</v>
      </c>
      <c r="DX235">
        <v>61.7</v>
      </c>
      <c r="DY235">
        <v>26.2</v>
      </c>
      <c r="DZ235">
        <v>146.96</v>
      </c>
      <c r="EA235">
        <v>81.5</v>
      </c>
    </row>
    <row r="236" spans="1:131">
      <c r="A236" s="2">
        <v>43428</v>
      </c>
      <c r="B236" t="s">
        <v>125</v>
      </c>
      <c r="C236">
        <v>950</v>
      </c>
      <c r="D236" t="s">
        <v>128</v>
      </c>
      <c r="E236">
        <v>3</v>
      </c>
      <c r="BK236">
        <v>232</v>
      </c>
      <c r="DW236">
        <v>0.04</v>
      </c>
      <c r="DX236">
        <v>60.4</v>
      </c>
      <c r="DY236">
        <v>26</v>
      </c>
      <c r="DZ236">
        <v>144.44</v>
      </c>
      <c r="EA236">
        <v>80.599999999999994</v>
      </c>
    </row>
    <row r="237" spans="1:131">
      <c r="A237" s="2">
        <v>43428</v>
      </c>
      <c r="B237" t="s">
        <v>125</v>
      </c>
      <c r="C237">
        <v>950</v>
      </c>
      <c r="D237" t="s">
        <v>128</v>
      </c>
      <c r="E237">
        <v>4</v>
      </c>
      <c r="BK237">
        <v>232</v>
      </c>
      <c r="DW237">
        <v>0.04</v>
      </c>
      <c r="DX237">
        <v>63</v>
      </c>
      <c r="DY237">
        <v>27.5</v>
      </c>
      <c r="DZ237">
        <v>151.30000000000001</v>
      </c>
      <c r="EA237">
        <v>81.5</v>
      </c>
    </row>
    <row r="238" spans="1:131">
      <c r="A238" s="2">
        <v>43428</v>
      </c>
      <c r="B238" t="s">
        <v>125</v>
      </c>
      <c r="C238">
        <v>950</v>
      </c>
      <c r="D238" t="s">
        <v>128</v>
      </c>
      <c r="E238">
        <v>5</v>
      </c>
      <c r="BK238">
        <v>232</v>
      </c>
      <c r="DW238">
        <v>0.04</v>
      </c>
      <c r="DX238">
        <v>62.1</v>
      </c>
      <c r="DY238">
        <v>24.9</v>
      </c>
      <c r="DZ238">
        <v>136.25</v>
      </c>
      <c r="EA238">
        <v>78.8</v>
      </c>
    </row>
    <row r="239" spans="1:131">
      <c r="A239" s="2">
        <v>43428</v>
      </c>
      <c r="B239" t="s">
        <v>125</v>
      </c>
      <c r="C239">
        <v>950</v>
      </c>
      <c r="D239" t="s">
        <v>128</v>
      </c>
      <c r="E239">
        <v>6</v>
      </c>
      <c r="BK239">
        <v>232</v>
      </c>
      <c r="DW239">
        <v>0.04</v>
      </c>
      <c r="DX239">
        <v>62.4</v>
      </c>
      <c r="DY239">
        <v>26.9</v>
      </c>
      <c r="DZ239">
        <v>134.77000000000001</v>
      </c>
      <c r="EA239">
        <v>81</v>
      </c>
    </row>
    <row r="240" spans="1:131">
      <c r="A240" s="2">
        <v>43428</v>
      </c>
      <c r="B240" t="s">
        <v>125</v>
      </c>
      <c r="C240">
        <v>950</v>
      </c>
      <c r="D240" t="s">
        <v>128</v>
      </c>
      <c r="E240">
        <v>7</v>
      </c>
      <c r="BK240">
        <v>232</v>
      </c>
      <c r="DW240">
        <v>0.04</v>
      </c>
      <c r="DX240">
        <v>62</v>
      </c>
      <c r="DY240">
        <v>25.8</v>
      </c>
      <c r="DZ240">
        <v>116.47</v>
      </c>
      <c r="EA240">
        <v>79.8</v>
      </c>
    </row>
    <row r="241" spans="1:131">
      <c r="A241" s="2">
        <v>43428</v>
      </c>
      <c r="B241" t="s">
        <v>125</v>
      </c>
      <c r="C241">
        <v>950</v>
      </c>
      <c r="D241" t="s">
        <v>128</v>
      </c>
      <c r="E241">
        <v>8</v>
      </c>
      <c r="BK241">
        <v>232</v>
      </c>
      <c r="DW241">
        <v>0.04</v>
      </c>
      <c r="DX241">
        <v>60.3</v>
      </c>
      <c r="DY241">
        <v>25.9</v>
      </c>
      <c r="DZ241">
        <v>144.31</v>
      </c>
      <c r="EA241">
        <v>82</v>
      </c>
    </row>
    <row r="242" spans="1:131">
      <c r="A242" s="2">
        <v>43428</v>
      </c>
      <c r="B242" t="s">
        <v>125</v>
      </c>
      <c r="C242">
        <v>950</v>
      </c>
      <c r="D242" t="s">
        <v>128</v>
      </c>
      <c r="E242">
        <v>9</v>
      </c>
      <c r="BK242">
        <v>232</v>
      </c>
      <c r="DW242">
        <v>0.04</v>
      </c>
      <c r="DX242">
        <v>60.1</v>
      </c>
      <c r="DY242">
        <v>27.1</v>
      </c>
      <c r="DZ242">
        <v>151.13</v>
      </c>
      <c r="EA242">
        <v>82</v>
      </c>
    </row>
    <row r="243" spans="1:131">
      <c r="A243" s="2">
        <v>43428</v>
      </c>
      <c r="B243" t="s">
        <v>125</v>
      </c>
      <c r="C243">
        <v>950</v>
      </c>
      <c r="D243" t="s">
        <v>128</v>
      </c>
      <c r="E243">
        <v>10</v>
      </c>
      <c r="BK243">
        <v>232</v>
      </c>
      <c r="DW243">
        <v>0.04</v>
      </c>
      <c r="DX243">
        <v>62.8</v>
      </c>
      <c r="DY243">
        <v>27</v>
      </c>
      <c r="DZ243">
        <v>156.19999999999999</v>
      </c>
      <c r="EA243">
        <v>82</v>
      </c>
    </row>
    <row r="244" spans="1:131">
      <c r="A244" s="2">
        <v>43428</v>
      </c>
      <c r="B244" t="s">
        <v>125</v>
      </c>
      <c r="C244">
        <v>950</v>
      </c>
      <c r="D244" t="s">
        <v>128</v>
      </c>
      <c r="E244">
        <v>11</v>
      </c>
      <c r="BK244">
        <v>232</v>
      </c>
      <c r="DW244">
        <v>0.04</v>
      </c>
      <c r="DX244">
        <v>61.1</v>
      </c>
      <c r="DY244">
        <v>26.3</v>
      </c>
      <c r="DZ244">
        <v>149.47</v>
      </c>
      <c r="EA244">
        <v>81.8</v>
      </c>
    </row>
    <row r="245" spans="1:131">
      <c r="A245" s="2">
        <v>43428</v>
      </c>
      <c r="B245" t="s">
        <v>125</v>
      </c>
      <c r="C245">
        <v>950</v>
      </c>
      <c r="D245" t="s">
        <v>128</v>
      </c>
      <c r="E245">
        <v>12</v>
      </c>
      <c r="BK245">
        <v>232</v>
      </c>
      <c r="DW245">
        <v>0.04</v>
      </c>
      <c r="DX245">
        <v>59.8</v>
      </c>
      <c r="DY245">
        <v>27.3</v>
      </c>
      <c r="DZ245">
        <v>167.83</v>
      </c>
      <c r="EA245">
        <v>84.1</v>
      </c>
    </row>
    <row r="246" spans="1:131">
      <c r="A246" s="2">
        <v>43428</v>
      </c>
      <c r="B246" t="s">
        <v>125</v>
      </c>
      <c r="C246">
        <v>950</v>
      </c>
      <c r="D246" t="s">
        <v>128</v>
      </c>
      <c r="E246">
        <v>13</v>
      </c>
      <c r="BK246">
        <v>232</v>
      </c>
      <c r="DW246">
        <v>0.04</v>
      </c>
      <c r="DX246">
        <v>61.3</v>
      </c>
      <c r="DY246">
        <v>27.1</v>
      </c>
      <c r="DZ246">
        <v>157.97999999999999</v>
      </c>
      <c r="EA246">
        <v>81.5</v>
      </c>
    </row>
    <row r="247" spans="1:131">
      <c r="A247" s="2">
        <v>43428</v>
      </c>
      <c r="B247" t="s">
        <v>125</v>
      </c>
      <c r="C247">
        <v>950</v>
      </c>
      <c r="D247" t="s">
        <v>128</v>
      </c>
      <c r="E247">
        <v>14</v>
      </c>
      <c r="BK247">
        <v>232</v>
      </c>
      <c r="DW247">
        <v>0.04</v>
      </c>
      <c r="DX247">
        <v>59.3</v>
      </c>
      <c r="DY247">
        <v>25.9</v>
      </c>
      <c r="DZ247">
        <v>158.18</v>
      </c>
      <c r="EA247">
        <v>81.7</v>
      </c>
    </row>
    <row r="248" spans="1:131">
      <c r="A248" s="2">
        <v>43428</v>
      </c>
      <c r="B248" t="s">
        <v>125</v>
      </c>
      <c r="C248">
        <v>950</v>
      </c>
      <c r="D248" t="s">
        <v>128</v>
      </c>
      <c r="E248">
        <v>15</v>
      </c>
      <c r="BK248">
        <v>232</v>
      </c>
      <c r="DW248">
        <v>0.04</v>
      </c>
      <c r="DX248">
        <v>59.8</v>
      </c>
      <c r="DY248">
        <v>25.7</v>
      </c>
      <c r="DZ248">
        <v>150.63</v>
      </c>
      <c r="EA248">
        <v>80.900000000000006</v>
      </c>
    </row>
    <row r="249" spans="1:131">
      <c r="A249" s="2">
        <v>43428</v>
      </c>
      <c r="B249" t="s">
        <v>125</v>
      </c>
      <c r="C249">
        <v>950</v>
      </c>
      <c r="D249" t="s">
        <v>128</v>
      </c>
      <c r="E249">
        <v>16</v>
      </c>
      <c r="BK249">
        <v>232</v>
      </c>
      <c r="DW249">
        <v>0.04</v>
      </c>
      <c r="DX249">
        <v>61.8</v>
      </c>
      <c r="DY249">
        <v>27.6</v>
      </c>
      <c r="DZ249">
        <v>162.9</v>
      </c>
      <c r="EA249">
        <v>81.900000000000006</v>
      </c>
    </row>
    <row r="250" spans="1:131">
      <c r="A250" s="2">
        <v>43428</v>
      </c>
      <c r="B250" t="s">
        <v>125</v>
      </c>
      <c r="C250">
        <v>950</v>
      </c>
      <c r="D250" t="s">
        <v>128</v>
      </c>
      <c r="E250">
        <v>17</v>
      </c>
      <c r="BK250">
        <v>232</v>
      </c>
      <c r="DW250">
        <v>0.04</v>
      </c>
      <c r="DX250">
        <v>62.7</v>
      </c>
      <c r="DY250">
        <v>27.4</v>
      </c>
      <c r="DZ250">
        <v>159.06</v>
      </c>
      <c r="EA250">
        <v>83.3</v>
      </c>
    </row>
    <row r="251" spans="1:131">
      <c r="A251" s="2">
        <v>43428</v>
      </c>
      <c r="B251" t="s">
        <v>125</v>
      </c>
      <c r="C251">
        <v>950</v>
      </c>
      <c r="D251" t="s">
        <v>128</v>
      </c>
      <c r="E251">
        <v>18</v>
      </c>
      <c r="BK251">
        <v>232</v>
      </c>
      <c r="DW251">
        <v>0.04</v>
      </c>
      <c r="DX251">
        <v>61.9</v>
      </c>
      <c r="DY251">
        <v>27.3</v>
      </c>
      <c r="DZ251">
        <v>153.97999999999999</v>
      </c>
      <c r="EA251">
        <v>82.5</v>
      </c>
    </row>
    <row r="252" spans="1:131">
      <c r="A252" s="2">
        <v>43428</v>
      </c>
      <c r="B252" t="s">
        <v>125</v>
      </c>
      <c r="C252">
        <v>950</v>
      </c>
      <c r="D252" t="s">
        <v>128</v>
      </c>
      <c r="E252">
        <v>19</v>
      </c>
      <c r="BK252">
        <v>232</v>
      </c>
      <c r="DW252">
        <v>0.04</v>
      </c>
      <c r="DX252">
        <v>61</v>
      </c>
      <c r="DY252">
        <v>26.9</v>
      </c>
      <c r="DZ252">
        <v>158.62</v>
      </c>
      <c r="EA252">
        <v>82.7</v>
      </c>
    </row>
    <row r="253" spans="1:131">
      <c r="A253" s="2">
        <v>43428</v>
      </c>
      <c r="B253" t="s">
        <v>125</v>
      </c>
      <c r="C253">
        <v>950</v>
      </c>
      <c r="D253" t="s">
        <v>128</v>
      </c>
      <c r="E253">
        <v>20</v>
      </c>
      <c r="BK253">
        <v>232</v>
      </c>
      <c r="DW253">
        <v>0.04</v>
      </c>
      <c r="DX253">
        <v>60.5</v>
      </c>
      <c r="DY253">
        <v>26.8</v>
      </c>
      <c r="DZ253">
        <v>157.27000000000001</v>
      </c>
      <c r="EA253">
        <v>82.3</v>
      </c>
    </row>
    <row r="254" spans="1:131">
      <c r="A254" s="2">
        <v>43428</v>
      </c>
      <c r="B254" t="s">
        <v>125</v>
      </c>
      <c r="C254">
        <v>950</v>
      </c>
      <c r="D254" t="s">
        <v>128</v>
      </c>
      <c r="E254">
        <v>21</v>
      </c>
      <c r="BK254">
        <v>232</v>
      </c>
      <c r="DW254">
        <v>0.04</v>
      </c>
      <c r="DX254">
        <v>61.3</v>
      </c>
      <c r="DY254">
        <v>26.6</v>
      </c>
      <c r="DZ254">
        <v>151.25</v>
      </c>
      <c r="EA254">
        <v>84.4</v>
      </c>
    </row>
    <row r="255" spans="1:131">
      <c r="A255" s="2">
        <v>43444</v>
      </c>
      <c r="B255" t="s">
        <v>127</v>
      </c>
      <c r="C255">
        <v>961</v>
      </c>
      <c r="D255" t="s">
        <v>126</v>
      </c>
      <c r="E255">
        <v>30</v>
      </c>
      <c r="BK255">
        <v>420</v>
      </c>
      <c r="DW255">
        <v>0.04</v>
      </c>
      <c r="DX255">
        <v>93</v>
      </c>
      <c r="DY255">
        <v>42.2</v>
      </c>
      <c r="DZ255">
        <v>255.69</v>
      </c>
      <c r="EA255">
        <v>90.5</v>
      </c>
    </row>
    <row r="256" spans="1:131">
      <c r="A256" s="2">
        <v>43444</v>
      </c>
      <c r="B256" t="s">
        <v>127</v>
      </c>
      <c r="C256">
        <v>961</v>
      </c>
      <c r="D256" t="s">
        <v>126</v>
      </c>
      <c r="E256">
        <v>31</v>
      </c>
      <c r="BK256">
        <v>420</v>
      </c>
      <c r="DW256">
        <v>0.04</v>
      </c>
      <c r="DX256">
        <v>92.3</v>
      </c>
      <c r="DY256">
        <v>40.9</v>
      </c>
      <c r="DZ256">
        <v>243.21</v>
      </c>
      <c r="EA256">
        <v>91.6</v>
      </c>
    </row>
    <row r="257" spans="1:131">
      <c r="A257" s="2">
        <v>43444</v>
      </c>
      <c r="B257" t="s">
        <v>127</v>
      </c>
      <c r="C257">
        <v>961</v>
      </c>
      <c r="D257" t="s">
        <v>126</v>
      </c>
      <c r="E257">
        <v>32</v>
      </c>
      <c r="BK257">
        <v>420</v>
      </c>
      <c r="DW257">
        <v>0.04</v>
      </c>
      <c r="DX257">
        <v>92.5</v>
      </c>
      <c r="DY257">
        <v>41.3</v>
      </c>
      <c r="DZ257">
        <v>255.23</v>
      </c>
      <c r="EA257">
        <v>93.7</v>
      </c>
    </row>
    <row r="258" spans="1:131">
      <c r="A258" s="2">
        <v>43444</v>
      </c>
      <c r="B258" t="s">
        <v>127</v>
      </c>
      <c r="C258">
        <v>961</v>
      </c>
      <c r="D258" t="s">
        <v>126</v>
      </c>
      <c r="E258">
        <v>33</v>
      </c>
      <c r="BK258">
        <v>420</v>
      </c>
      <c r="DW258">
        <v>0.04</v>
      </c>
      <c r="DX258">
        <v>92.4</v>
      </c>
      <c r="DY258">
        <v>43.3</v>
      </c>
      <c r="DZ258">
        <v>280.81</v>
      </c>
      <c r="EA258">
        <v>92.3</v>
      </c>
    </row>
    <row r="259" spans="1:131">
      <c r="A259" s="2">
        <v>43444</v>
      </c>
      <c r="B259" t="s">
        <v>127</v>
      </c>
      <c r="C259">
        <v>961</v>
      </c>
      <c r="D259" t="s">
        <v>126</v>
      </c>
      <c r="E259">
        <v>34</v>
      </c>
      <c r="BK259">
        <v>420</v>
      </c>
      <c r="DW259">
        <v>0.04</v>
      </c>
      <c r="DX259">
        <v>91.9</v>
      </c>
      <c r="DY259">
        <v>42.5</v>
      </c>
      <c r="DZ259">
        <v>272.87</v>
      </c>
      <c r="EA259">
        <v>92.3</v>
      </c>
    </row>
    <row r="260" spans="1:131">
      <c r="A260" s="2">
        <v>43444</v>
      </c>
      <c r="B260" t="s">
        <v>127</v>
      </c>
      <c r="C260">
        <v>961</v>
      </c>
      <c r="D260" t="s">
        <v>126</v>
      </c>
      <c r="E260">
        <v>35</v>
      </c>
      <c r="BK260">
        <v>420</v>
      </c>
      <c r="DW260">
        <v>0.04</v>
      </c>
      <c r="DX260">
        <v>92.9</v>
      </c>
      <c r="DY260">
        <v>42.6</v>
      </c>
      <c r="DZ260">
        <v>274.61</v>
      </c>
      <c r="EA260">
        <v>92.4</v>
      </c>
    </row>
    <row r="261" spans="1:131">
      <c r="A261" s="2">
        <v>43444</v>
      </c>
      <c r="B261" t="s">
        <v>127</v>
      </c>
      <c r="C261">
        <v>961</v>
      </c>
      <c r="D261" t="s">
        <v>126</v>
      </c>
      <c r="E261">
        <v>36</v>
      </c>
      <c r="BK261">
        <v>420</v>
      </c>
      <c r="DW261">
        <v>0.04</v>
      </c>
      <c r="DX261">
        <v>92.7</v>
      </c>
      <c r="DY261">
        <v>42.6</v>
      </c>
      <c r="DZ261">
        <v>279.89</v>
      </c>
      <c r="EA261">
        <v>92.1</v>
      </c>
    </row>
    <row r="262" spans="1:131">
      <c r="A262" s="2">
        <v>43444</v>
      </c>
      <c r="B262" t="s">
        <v>127</v>
      </c>
      <c r="C262">
        <v>961</v>
      </c>
      <c r="D262" t="s">
        <v>126</v>
      </c>
      <c r="E262">
        <v>37</v>
      </c>
      <c r="BK262">
        <v>420</v>
      </c>
      <c r="DW262">
        <v>0.04</v>
      </c>
      <c r="DX262">
        <v>92.6</v>
      </c>
      <c r="DY262">
        <v>42.2</v>
      </c>
      <c r="DZ262">
        <v>286.94</v>
      </c>
      <c r="EA262">
        <v>91.6</v>
      </c>
    </row>
    <row r="263" spans="1:131">
      <c r="A263" s="2">
        <v>43444</v>
      </c>
      <c r="B263" t="s">
        <v>127</v>
      </c>
      <c r="C263">
        <v>961</v>
      </c>
      <c r="D263" t="s">
        <v>126</v>
      </c>
      <c r="E263">
        <v>38</v>
      </c>
      <c r="BK263">
        <v>420</v>
      </c>
      <c r="DW263">
        <v>0.04</v>
      </c>
      <c r="DX263">
        <v>93</v>
      </c>
      <c r="DY263">
        <v>42.2</v>
      </c>
      <c r="DZ263">
        <v>257.54000000000002</v>
      </c>
      <c r="EA263">
        <v>91.9</v>
      </c>
    </row>
    <row r="264" spans="1:131">
      <c r="A264" s="2">
        <v>43444</v>
      </c>
      <c r="B264" t="s">
        <v>127</v>
      </c>
      <c r="C264">
        <v>961</v>
      </c>
      <c r="D264" t="s">
        <v>126</v>
      </c>
      <c r="E264">
        <v>39</v>
      </c>
      <c r="BK264">
        <v>420</v>
      </c>
      <c r="DW264">
        <v>0.04</v>
      </c>
      <c r="DX264">
        <v>92.8</v>
      </c>
      <c r="DY264">
        <v>42.5</v>
      </c>
      <c r="DZ264">
        <v>268.13</v>
      </c>
      <c r="EA264">
        <v>92.2</v>
      </c>
    </row>
    <row r="265" spans="1:131">
      <c r="A265" s="2">
        <v>43444</v>
      </c>
      <c r="B265" t="s">
        <v>127</v>
      </c>
      <c r="C265">
        <v>961</v>
      </c>
      <c r="D265" t="s">
        <v>126</v>
      </c>
      <c r="E265">
        <v>40</v>
      </c>
      <c r="BK265">
        <v>420</v>
      </c>
      <c r="DW265">
        <v>0.04</v>
      </c>
      <c r="DX265">
        <v>92.7</v>
      </c>
      <c r="DY265">
        <v>42.7</v>
      </c>
      <c r="DZ265">
        <v>260.02</v>
      </c>
      <c r="EA265">
        <v>92.5</v>
      </c>
    </row>
    <row r="266" spans="1:131">
      <c r="A266" s="2">
        <v>43444</v>
      </c>
      <c r="B266" t="s">
        <v>127</v>
      </c>
      <c r="C266">
        <v>961</v>
      </c>
      <c r="D266" t="s">
        <v>126</v>
      </c>
      <c r="E266">
        <v>41</v>
      </c>
      <c r="BK266">
        <v>420</v>
      </c>
      <c r="DW266">
        <v>0.04</v>
      </c>
      <c r="DX266">
        <v>90.2</v>
      </c>
      <c r="DY266">
        <v>41.5</v>
      </c>
      <c r="DZ266">
        <v>271.06</v>
      </c>
      <c r="EA266">
        <v>94</v>
      </c>
    </row>
    <row r="267" spans="1:131">
      <c r="A267" s="2">
        <v>43454</v>
      </c>
      <c r="B267" t="s">
        <v>125</v>
      </c>
      <c r="C267">
        <v>84</v>
      </c>
      <c r="D267" t="s">
        <v>132</v>
      </c>
      <c r="E267">
        <v>1</v>
      </c>
      <c r="BK267">
        <v>135</v>
      </c>
      <c r="DW267">
        <v>0.04</v>
      </c>
      <c r="DX267">
        <v>45</v>
      </c>
      <c r="DY267">
        <v>15.6</v>
      </c>
      <c r="DZ267">
        <v>58.7</v>
      </c>
      <c r="EA267">
        <v>40.6</v>
      </c>
    </row>
    <row r="268" spans="1:131">
      <c r="A268" s="2">
        <v>43454</v>
      </c>
      <c r="B268" t="s">
        <v>125</v>
      </c>
      <c r="C268">
        <v>84</v>
      </c>
      <c r="D268" t="s">
        <v>132</v>
      </c>
      <c r="E268">
        <v>2</v>
      </c>
      <c r="BK268">
        <v>135</v>
      </c>
      <c r="DW268">
        <v>0.04</v>
      </c>
      <c r="DX268">
        <v>43.8</v>
      </c>
      <c r="DY268">
        <v>15.1</v>
      </c>
      <c r="DZ268">
        <v>60.34</v>
      </c>
      <c r="EA268">
        <v>41.2</v>
      </c>
    </row>
    <row r="269" spans="1:131">
      <c r="A269" s="2">
        <v>43454</v>
      </c>
      <c r="B269" t="s">
        <v>125</v>
      </c>
      <c r="C269">
        <v>84</v>
      </c>
      <c r="D269" t="s">
        <v>132</v>
      </c>
      <c r="E269">
        <v>3</v>
      </c>
      <c r="BK269">
        <v>135</v>
      </c>
      <c r="DW269">
        <v>0.04</v>
      </c>
      <c r="DX269">
        <v>44.4</v>
      </c>
      <c r="DY269">
        <v>15.1</v>
      </c>
      <c r="DZ269">
        <v>65.78</v>
      </c>
      <c r="EA269">
        <v>41.2</v>
      </c>
    </row>
    <row r="270" spans="1:131">
      <c r="A270" s="2">
        <v>43454</v>
      </c>
      <c r="B270" t="s">
        <v>125</v>
      </c>
      <c r="C270">
        <v>84</v>
      </c>
      <c r="D270" t="s">
        <v>132</v>
      </c>
      <c r="E270">
        <v>4</v>
      </c>
      <c r="BK270">
        <v>135</v>
      </c>
      <c r="DW270">
        <v>0.04</v>
      </c>
      <c r="DX270">
        <v>42.9</v>
      </c>
      <c r="DY270">
        <v>14.7</v>
      </c>
      <c r="DZ270">
        <v>64.72</v>
      </c>
      <c r="EA270">
        <v>41.1</v>
      </c>
    </row>
    <row r="271" spans="1:131">
      <c r="A271" s="2">
        <v>43454</v>
      </c>
      <c r="B271" t="s">
        <v>125</v>
      </c>
      <c r="C271">
        <v>84</v>
      </c>
      <c r="D271" t="s">
        <v>132</v>
      </c>
      <c r="E271">
        <v>5</v>
      </c>
      <c r="BK271">
        <v>135</v>
      </c>
      <c r="DW271">
        <v>0.04</v>
      </c>
      <c r="DX271">
        <v>44.7</v>
      </c>
      <c r="DY271">
        <v>15.4</v>
      </c>
      <c r="DZ271">
        <v>66.59</v>
      </c>
      <c r="EA271">
        <v>41.5</v>
      </c>
    </row>
    <row r="272" spans="1:131">
      <c r="A272" s="2">
        <v>43454</v>
      </c>
      <c r="B272" t="s">
        <v>125</v>
      </c>
      <c r="C272">
        <v>84</v>
      </c>
      <c r="D272" t="s">
        <v>132</v>
      </c>
      <c r="E272">
        <v>6</v>
      </c>
      <c r="BK272">
        <v>135</v>
      </c>
      <c r="DW272">
        <v>0.04</v>
      </c>
      <c r="DX272">
        <v>45.9</v>
      </c>
      <c r="DY272">
        <v>15.7</v>
      </c>
      <c r="DZ272">
        <v>69.239999999999995</v>
      </c>
      <c r="EA272">
        <v>42.6</v>
      </c>
    </row>
    <row r="273" spans="1:131">
      <c r="A273" s="2">
        <v>43454</v>
      </c>
      <c r="B273" t="s">
        <v>125</v>
      </c>
      <c r="C273">
        <v>84</v>
      </c>
      <c r="D273" t="s">
        <v>132</v>
      </c>
      <c r="E273">
        <v>7</v>
      </c>
      <c r="BK273">
        <v>135</v>
      </c>
      <c r="DW273">
        <v>0.04</v>
      </c>
      <c r="DX273">
        <v>43.7</v>
      </c>
      <c r="DY273">
        <v>15.2</v>
      </c>
      <c r="DZ273">
        <v>66.78</v>
      </c>
      <c r="EA273">
        <v>42.6</v>
      </c>
    </row>
    <row r="274" spans="1:131">
      <c r="A274" s="2">
        <v>43454</v>
      </c>
      <c r="B274" t="s">
        <v>125</v>
      </c>
      <c r="C274">
        <v>84</v>
      </c>
      <c r="D274" t="s">
        <v>132</v>
      </c>
      <c r="E274">
        <v>8</v>
      </c>
      <c r="BK274">
        <v>135</v>
      </c>
      <c r="DW274">
        <v>0.04</v>
      </c>
      <c r="DX274">
        <v>46</v>
      </c>
      <c r="DY274">
        <v>16.7</v>
      </c>
      <c r="DZ274">
        <v>73.040000000000006</v>
      </c>
      <c r="EA274">
        <v>42.6</v>
      </c>
    </row>
    <row r="275" spans="1:131">
      <c r="A275" s="2">
        <v>43454</v>
      </c>
      <c r="B275" t="s">
        <v>125</v>
      </c>
      <c r="C275">
        <v>84</v>
      </c>
      <c r="D275" t="s">
        <v>132</v>
      </c>
      <c r="E275">
        <v>9</v>
      </c>
      <c r="BK275">
        <v>135</v>
      </c>
      <c r="DW275">
        <v>0.04</v>
      </c>
      <c r="DX275">
        <v>46.5</v>
      </c>
      <c r="DY275">
        <v>16.100000000000001</v>
      </c>
      <c r="DZ275">
        <v>72.25</v>
      </c>
      <c r="EA275">
        <v>43.3</v>
      </c>
    </row>
    <row r="276" spans="1:131">
      <c r="A276" s="2">
        <v>43454</v>
      </c>
      <c r="B276" t="s">
        <v>125</v>
      </c>
      <c r="C276">
        <v>84</v>
      </c>
      <c r="D276" t="s">
        <v>132</v>
      </c>
      <c r="E276">
        <v>10</v>
      </c>
      <c r="BK276">
        <v>135</v>
      </c>
      <c r="DW276">
        <v>0.04</v>
      </c>
      <c r="DX276">
        <v>45</v>
      </c>
      <c r="DY276">
        <v>16.399999999999999</v>
      </c>
      <c r="DZ276">
        <v>70.19</v>
      </c>
      <c r="EA276">
        <v>45.3</v>
      </c>
    </row>
    <row r="277" spans="1:131">
      <c r="A277" s="2">
        <v>43455</v>
      </c>
      <c r="B277" t="s">
        <v>125</v>
      </c>
      <c r="C277">
        <v>84</v>
      </c>
      <c r="D277" t="s">
        <v>132</v>
      </c>
      <c r="E277">
        <v>122</v>
      </c>
      <c r="BK277">
        <v>135</v>
      </c>
      <c r="DW277">
        <v>0.04</v>
      </c>
      <c r="DX277">
        <v>44</v>
      </c>
      <c r="DY277">
        <v>16.7</v>
      </c>
      <c r="DZ277">
        <v>79.86</v>
      </c>
      <c r="EA277">
        <v>43.5</v>
      </c>
    </row>
    <row r="278" spans="1:131">
      <c r="A278" s="2">
        <v>43455</v>
      </c>
      <c r="B278" t="s">
        <v>125</v>
      </c>
      <c r="C278">
        <v>84</v>
      </c>
      <c r="D278" t="s">
        <v>132</v>
      </c>
      <c r="E278">
        <v>123</v>
      </c>
      <c r="BK278">
        <v>135</v>
      </c>
      <c r="DW278">
        <v>0.04</v>
      </c>
      <c r="DX278">
        <v>44.3</v>
      </c>
      <c r="DY278">
        <v>15.7</v>
      </c>
      <c r="DZ278">
        <v>72.08</v>
      </c>
      <c r="EA278">
        <v>43</v>
      </c>
    </row>
    <row r="279" spans="1:131">
      <c r="A279" s="2">
        <v>43455</v>
      </c>
      <c r="B279" t="s">
        <v>125</v>
      </c>
      <c r="C279">
        <v>84</v>
      </c>
      <c r="D279" t="s">
        <v>132</v>
      </c>
      <c r="E279">
        <v>124</v>
      </c>
      <c r="BK279">
        <v>135</v>
      </c>
      <c r="DW279">
        <v>0.04</v>
      </c>
      <c r="DX279">
        <v>44</v>
      </c>
      <c r="DY279">
        <v>16.100000000000001</v>
      </c>
      <c r="DZ279">
        <v>75.88</v>
      </c>
      <c r="EA279">
        <v>43</v>
      </c>
    </row>
  </sheetData>
  <phoneticPr fontId="1" type="noConversion"/>
  <pageMargins left="0.7" right="0.7" top="0.75" bottom="0.75" header="0.3" footer="0.3"/>
  <legacyDrawing r:id="rId1"/>
  <controls>
    <control shapeId="11265" r:id="rId2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D7"/>
  <sheetViews>
    <sheetView workbookViewId="0">
      <selection activeCell="J12" sqref="J12"/>
    </sheetView>
  </sheetViews>
  <sheetFormatPr defaultRowHeight="13.5"/>
  <cols>
    <col min="1" max="1" width="5.25" bestFit="1" customWidth="1"/>
    <col min="2" max="3" width="7.125" bestFit="1" customWidth="1"/>
    <col min="4" max="4" width="7.5" bestFit="1" customWidth="1"/>
  </cols>
  <sheetData>
    <row r="1" spans="1:4">
      <c r="A1" t="s">
        <v>134</v>
      </c>
      <c r="B1" t="s">
        <v>135</v>
      </c>
      <c r="C1" t="s">
        <v>24</v>
      </c>
      <c r="D1" t="s">
        <v>136</v>
      </c>
    </row>
    <row r="2" spans="1:4">
      <c r="A2" t="s">
        <v>26</v>
      </c>
      <c r="B2">
        <v>80</v>
      </c>
      <c r="C2">
        <v>56</v>
      </c>
      <c r="D2">
        <f>C2/B2</f>
        <v>0.7</v>
      </c>
    </row>
    <row r="3" spans="1:4">
      <c r="A3" t="s">
        <v>27</v>
      </c>
      <c r="B3">
        <v>80</v>
      </c>
      <c r="C3">
        <v>89</v>
      </c>
      <c r="D3">
        <f t="shared" ref="D3:D7" si="0">C3/B3</f>
        <v>1.1125</v>
      </c>
    </row>
    <row r="4" spans="1:4">
      <c r="A4" t="s">
        <v>28</v>
      </c>
      <c r="B4">
        <v>80</v>
      </c>
      <c r="C4">
        <v>67</v>
      </c>
      <c r="D4">
        <f t="shared" si="0"/>
        <v>0.83750000000000002</v>
      </c>
    </row>
    <row r="5" spans="1:4">
      <c r="A5" t="s">
        <v>29</v>
      </c>
      <c r="B5">
        <v>80</v>
      </c>
      <c r="C5">
        <v>76</v>
      </c>
      <c r="D5">
        <f t="shared" si="0"/>
        <v>0.95</v>
      </c>
    </row>
    <row r="6" spans="1:4">
      <c r="A6" t="s">
        <v>137</v>
      </c>
      <c r="B6">
        <v>80</v>
      </c>
      <c r="C6">
        <v>67</v>
      </c>
      <c r="D6">
        <f t="shared" si="0"/>
        <v>0.83750000000000002</v>
      </c>
    </row>
    <row r="7" spans="1:4">
      <c r="A7" t="s">
        <v>138</v>
      </c>
      <c r="B7">
        <v>80</v>
      </c>
      <c r="C7">
        <v>81</v>
      </c>
      <c r="D7">
        <f t="shared" si="0"/>
        <v>1.0125</v>
      </c>
    </row>
  </sheetData>
  <phoneticPr fontId="1" type="noConversion"/>
  <printOptions horizontalCentered="1" verticalCentered="1"/>
  <pageMargins left="0.1" right="0.1" top="0.12000000000000001" bottom="0.12000000000000001" header="0.1" footer="0.1"/>
  <pageSetup paperSize="9" orientation="landscape" horizontalDpi="300" verticalDpi="300" r:id="rId1"/>
  <legacyDrawing r:id="rId2"/>
  <controls>
    <control shapeId="13313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初识图表</vt:lpstr>
      <vt:lpstr>堆叠图</vt:lpstr>
      <vt:lpstr>组合图</vt:lpstr>
      <vt:lpstr>散点图</vt:lpstr>
      <vt:lpstr>缩放图表</vt:lpstr>
      <vt:lpstr>切片图表</vt:lpstr>
      <vt:lpstr>切片图表2</vt:lpstr>
      <vt:lpstr>图表输出与打印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</dc:creator>
  <cp:lastModifiedBy>LIAO</cp:lastModifiedBy>
  <cp:lastPrinted>2019-01-22T04:06:02Z</cp:lastPrinted>
  <dcterms:created xsi:type="dcterms:W3CDTF">2019-01-16T07:04:08Z</dcterms:created>
  <dcterms:modified xsi:type="dcterms:W3CDTF">2019-01-23T10:08:30Z</dcterms:modified>
</cp:coreProperties>
</file>